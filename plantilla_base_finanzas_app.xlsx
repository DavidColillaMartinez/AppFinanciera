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00_LEEME" sheetId="1" state="visible" r:id="rId1"/>
    <sheet name="Config" sheetId="2" state="visible" r:id="rId2"/>
    <sheet name="Dashboard" sheetId="3" state="visible" r:id="rId3"/>
    <sheet name="Vista_mes" sheetId="4" state="visible" r:id="rId4"/>
    <sheet name="Movimientos" sheetId="5" state="visible" r:id="rId5"/>
    <sheet name="Categorias" sheetId="6" state="visible" r:id="rId6"/>
    <sheet name="Cuentas" sheetId="7" state="visible" r:id="rId7"/>
    <sheet name="Gastos_fijos" sheetId="8" state="visible" r:id="rId8"/>
    <sheet name="Pagos_futuros" sheetId="9" state="visible" r:id="rId9"/>
    <sheet name="Objetivos" sheetId="10" state="visible" r:id="rId10"/>
    <sheet name="Reservas" sheetId="11" state="visible" r:id="rId11"/>
    <sheet name="Mov_reservas" sheetId="12" state="visible" r:id="rId12"/>
    <sheet name="Pagos_aplazados" sheetId="13" state="visible" r:id="rId13"/>
    <sheet name="AppsScript" sheetId="14" state="visible" r:id="rId14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PLANTILLA BASE - FINANZAS PERSONALES</t>
        </is>
      </c>
      <c r="B1" t="inlineStr">
        <is>
          <t>Plantilla compatible con la app (templateVersion 1.1.0).</t>
        </is>
      </c>
    </row>
    <row r="2">
      <c r="A2" t="inlineStr">
        <is>
          <t>Objetivo</t>
        </is>
      </c>
      <c r="B2" t="inlineStr">
        <is>
          <t>Base generica para que cada usuario la suba a Google Sheets y conecte la app.</t>
        </is>
      </c>
    </row>
    <row r="3">
      <c r="A3" t="inlineStr">
        <is>
          <t>Como usarla</t>
        </is>
      </c>
      <c r="B3" t="inlineStr">
        <is>
          <t>1) Subir este XLSX a Google Drive. 2) Abrir con Google Sheets. 3) Conectar la app desde el onboarding.</t>
        </is>
      </c>
    </row>
    <row r="4">
      <c r="A4" t="inlineStr">
        <is>
          <t>Hojas oficiales</t>
        </is>
      </c>
      <c r="B4" t="inlineStr">
        <is>
          <t>Config, Movimientos, Categorias, Cuentas, Gastos_fijos, Pagos_futuros, Objetivos, Reservas, Mov_reservas, Pagos_aplazados.</t>
        </is>
      </c>
    </row>
    <row r="5">
      <c r="A5" t="inlineStr">
        <is>
          <t>Hojas heredadas</t>
        </is>
      </c>
      <c r="B5" t="inlineStr">
        <is>
          <t>Dashboard, Vista_mes, AppsScript: compatibles con el Apps Script legado (no usado por la app oficial).</t>
        </is>
      </c>
    </row>
    <row r="6">
      <c r="A6" t="inlineStr">
        <is>
          <t>Cuentas.rol</t>
        </is>
      </c>
      <c r="B6" t="inlineStr">
        <is>
          <t>Valores permitidos: diario, fijos, ahorro, general. La app usa el rol para calcular Disponible.</t>
        </is>
      </c>
    </row>
    <row r="7">
      <c r="A7" t="inlineStr">
        <is>
          <t>Mov_reservas</t>
        </is>
      </c>
      <c r="B7" t="inlineStr">
        <is>
          <t>Libro de ahorro: tipoDestino=reserva|objetivo|pago_futuro. tipoMovimiento=aporte|retirada.</t>
        </is>
      </c>
    </row>
    <row r="8">
      <c r="A8" t="inlineStr">
        <is>
          <t>Mov_reservas.Eliminado</t>
        </is>
      </c>
      <c r="B8" t="inlineStr">
        <is>
          <t>El sentinel "Eliminado" en tipoMovimiento se ignora en los calculos.</t>
        </is>
      </c>
    </row>
    <row r="9">
      <c r="A9" t="inlineStr">
        <is>
          <t>Importante</t>
        </is>
      </c>
      <c r="B9" t="inlineStr">
        <is>
          <t>No renombres hojas ni columnas. Para limpiar registros, usa el campo deletedAt en Movimientos.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Valor</t>
        </is>
      </c>
      <c r="C1" t="inlineStr">
        <is>
          <t>Descripcion</t>
        </is>
      </c>
    </row>
    <row r="2">
      <c r="A2" t="inlineStr">
        <is>
          <t>templateVersion</t>
        </is>
      </c>
      <c r="B2" t="inlineStr">
        <is>
          <t>1.1.0</t>
        </is>
      </c>
      <c r="C2" t="inlineStr">
        <is>
          <t>Version de estructura de la plantilla. Se actualiza ante cambios incompatibles.</t>
        </is>
      </c>
    </row>
    <row r="3">
      <c r="A3" t="inlineStr">
        <is>
          <t>appMinVersion</t>
        </is>
      </c>
      <c r="B3" t="inlineStr">
        <is>
          <t>1.0.0</t>
        </is>
      </c>
      <c r="C3" t="inlineStr">
        <is>
          <t>Version minima de la app que entiende esta plantilla.</t>
        </is>
      </c>
    </row>
    <row r="4">
      <c r="A4" t="inlineStr">
        <is>
          <t>currency</t>
        </is>
      </c>
      <c r="B4" t="inlineStr">
        <is>
          <t>EUR</t>
        </is>
      </c>
      <c r="C4" t="inlineStr">
        <is>
          <t>Moneda principal.</t>
        </is>
      </c>
    </row>
    <row r="5">
      <c r="A5" t="inlineStr">
        <is>
          <t>year</t>
        </is>
      </c>
      <c r="B5" t="inlineStr">
        <is>
          <t>2026</t>
        </is>
      </c>
      <c r="C5" t="inlineStr">
        <is>
          <t>Ano activo para dashboard/calendario.</t>
        </is>
      </c>
    </row>
    <row r="6">
      <c r="A6" t="inlineStr">
        <is>
          <t>month</t>
        </is>
      </c>
      <c r="B6" t="inlineStr">
        <is>
          <t>1</t>
        </is>
      </c>
      <c r="C6" t="inlineStr">
        <is>
          <t>Mes activo numerico: 1-12.</t>
        </is>
      </c>
    </row>
    <row r="7">
      <c r="A7" t="inlineStr">
        <is>
          <t>firstDayOfWeek</t>
        </is>
      </c>
      <c r="B7" t="inlineStr">
        <is>
          <t>1</t>
        </is>
      </c>
      <c r="C7" t="inlineStr">
        <is>
          <t>Primer dia de la semana: 1=lunes, 7=domingo.</t>
        </is>
      </c>
    </row>
    <row r="8">
      <c r="A8" t="inlineStr">
        <is>
          <t>locale</t>
        </is>
      </c>
      <c r="B8" t="inlineStr">
        <is>
          <t>es-ES</t>
        </is>
      </c>
      <c r="C8" t="inlineStr">
        <is>
          <t>Locale para formateo de numeros y fechas.</t>
        </is>
      </c>
    </row>
    <row r="9">
      <c r="A9" t="inlineStr">
        <is>
          <t>salary.enabled</t>
        </is>
      </c>
      <c r="B9" t="inlineStr">
        <is>
          <t>false</t>
        </is>
      </c>
      <c r="C9" t="inlineStr">
        <is>
          <t>Activa la generacion automatica del movimiento de nomina.</t>
        </is>
      </c>
    </row>
    <row r="10">
      <c r="A10" t="inlineStr">
        <is>
          <t>salary.type</t>
        </is>
      </c>
      <c r="B10" t="inlineStr">
        <is>
          <t>fixed</t>
        </is>
      </c>
      <c r="C10" t="inlineStr">
        <is>
          <t>Tipo: fixed | variable.</t>
        </is>
      </c>
    </row>
    <row r="11">
      <c r="A11" t="inlineStr">
        <is>
          <t>salary.fixedAmount</t>
        </is>
      </c>
      <c r="B11" t="inlineStr">
        <is>
          <t>0</t>
        </is>
      </c>
      <c r="C11" t="inlineStr">
        <is>
          <t>Importe de la nomina cuando type=fixed.</t>
        </is>
      </c>
    </row>
    <row r="12">
      <c r="A12" t="inlineStr">
        <is>
          <t>salary.day</t>
        </is>
      </c>
      <c r="B12" t="inlineStr">
        <is>
          <t>1</t>
        </is>
      </c>
      <c r="C12" t="inlineStr">
        <is>
          <t>Dia del mes en que se anade la nomina.</t>
        </is>
      </c>
    </row>
    <row r="13">
      <c r="A13" t="inlineStr">
        <is>
          <t>salary.destinationAccount</t>
        </is>
      </c>
      <c r="B13" t="inlineStr"/>
      <c r="C13" t="inlineStr">
        <is>
          <t>Nombre de la cuenta destino del movimiento de nomina.</t>
        </is>
      </c>
    </row>
    <row r="14">
      <c r="A14" t="inlineStr">
        <is>
          <t>salary.description</t>
        </is>
      </c>
      <c r="B14" t="inlineStr">
        <is>
          <t>Nomina</t>
        </is>
      </c>
      <c r="C14" t="inlineStr">
        <is>
          <t>Concepto por defecto del movimiento de nomina.</t>
        </is>
      </c>
    </row>
    <row r="15">
      <c r="A15" t="inlineStr">
        <is>
          <t>salary.updatedAt</t>
        </is>
      </c>
      <c r="B15" t="inlineStr"/>
      <c r="C15" t="inlineStr">
        <is>
          <t>Marca de tiempo de la ultima actualizacion de la nomina.</t>
        </is>
      </c>
    </row>
    <row r="16">
      <c r="A16" t="inlineStr">
        <is>
          <t>fixed.confirmed.YYYY-MM</t>
        </is>
      </c>
      <c r="B16" t="inlineStr"/>
      <c r="C16" t="inlineStr">
        <is>
          <t>Patron: clave de confirmacion de gastos fijos por mes. La app la escribe automaticamente. No editar a mano.</t>
        </is>
      </c>
    </row>
    <row r="17">
      <c r="A17" t="inlineStr">
        <is>
          <t>schemaLocked</t>
        </is>
      </c>
      <c r="B17" t="inlineStr">
        <is>
          <t>Si</t>
        </is>
      </c>
      <c r="C17" t="inlineStr">
        <is>
          <t>No cambiar nombres de columnas si la app esta conectada.</t>
        </is>
      </c>
    </row>
    <row r="18">
      <c r="A18" t="inlineStr">
        <is>
          <t>ownerName</t>
        </is>
      </c>
      <c r="B18" t="inlineStr"/>
      <c r="C18" t="inlineStr">
        <is>
          <t>Opcional: nombre del usuario.</t>
        </is>
      </c>
    </row>
    <row r="19">
      <c r="A19" t="inlineStr">
        <is>
          <t>appMode</t>
        </is>
      </c>
      <c r="B19" t="inlineStr">
        <is>
          <t>Sheet as database</t>
        </is>
      </c>
      <c r="C19" t="inlineStr">
        <is>
          <t>La Google Sheet actua como base de datos ligera.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DASHBOARD BASE</t>
        </is>
      </c>
      <c r="G1" t="inlineStr">
        <is>
          <t>Presupuesto por categoría</t>
        </is>
      </c>
    </row>
    <row r="2">
      <c r="A2" t="inlineStr">
        <is>
          <t>Mes activo</t>
        </is>
      </c>
      <c r="B2">
        <f>Config!B6</f>
        <v/>
      </c>
      <c r="G2" t="inlineStr">
        <is>
          <t>Categoría</t>
        </is>
      </c>
      <c r="H2" t="inlineStr">
        <is>
          <t>Presupuesto</t>
        </is>
      </c>
      <c r="I2" t="inlineStr">
        <is>
          <t>Gastado mes</t>
        </is>
      </c>
      <c r="J2" t="inlineStr">
        <is>
          <t>Disponible</t>
        </is>
      </c>
    </row>
    <row r="3">
      <c r="A3" t="inlineStr">
        <is>
          <t>Ingresos mes</t>
        </is>
      </c>
      <c r="B3">
        <f>IFERROR(SUMIFS(Movimientos!G2:G1000,Movimientos!E2:E1000,"Ingreso",Movimientos!C2:C1000,TEXT($B$2,"yyyy-mm")),0)</f>
        <v/>
      </c>
      <c r="G3">
        <f>IF(Categorias!B2="","",Categorias!B2)</f>
        <v/>
      </c>
      <c r="H3">
        <f>IFERROR(IF(G3="","",Categorias!C2),"")</f>
        <v/>
      </c>
      <c r="I3">
        <f>IFERROR(IF(G3="","",SUMIFS(Movimientos!$G$2:$G$1000,Movimientos!$E$2:$E$1000,"Gasto",Movimientos!$F$2:$F$1000,G3,Movimientos!$C$2:$C$1000,TEXT($B$2,"yyyy-mm"))),"")</f>
        <v/>
      </c>
      <c r="J3">
        <f>IFERROR(IF(G3="","",H3-I3),"")</f>
        <v/>
      </c>
    </row>
    <row r="4">
      <c r="A4" t="inlineStr">
        <is>
          <t>Gastos mes</t>
        </is>
      </c>
      <c r="B4">
        <f>IFERROR(SUMIFS(Movimientos!G2:G1000,Movimientos!E2:E1000,"Gasto",Movimientos!C2:C1000,TEXT($B$2,"yyyy-mm")),0)</f>
        <v/>
      </c>
      <c r="G4">
        <f>IF(Categorias!B3="","",Categorias!B3)</f>
        <v/>
      </c>
      <c r="H4">
        <f>IFERROR(IF(G4="","",Categorias!C3),"")</f>
        <v/>
      </c>
      <c r="I4">
        <f>IFERROR(IF(G4="","",SUMIFS(Movimientos!$G$2:$G$1000,Movimientos!$E$2:$E$1000,"Gasto",Movimientos!$F$2:$F$1000,G4,Movimientos!$C$2:$C$1000,TEXT($B$2,"yyyy-mm"))),"")</f>
        <v/>
      </c>
      <c r="J4">
        <f>IFERROR(IF(G4="","",H4-I4),"")</f>
        <v/>
      </c>
    </row>
    <row r="5">
      <c r="A5" t="inlineStr">
        <is>
          <t>Ahorro registrado</t>
        </is>
      </c>
      <c r="B5">
        <f>IFERROR(SUMIFS(Movimientos!G2:G1000,Movimientos!E2:E1000,"Ahorro",Movimientos!C2:C1000,TEXT($B$2,"yyyy-mm")),0)</f>
        <v/>
      </c>
      <c r="G5">
        <f>IF(Categorias!B4="","",Categorias!B4)</f>
        <v/>
      </c>
      <c r="H5">
        <f>IFERROR(IF(G5="","",Categorias!C4),"")</f>
        <v/>
      </c>
      <c r="I5">
        <f>IFERROR(IF(G5="","",SUMIFS(Movimientos!$G$2:$G$1000,Movimientos!$E$2:$E$1000,"Gasto",Movimientos!$F$2:$F$1000,G5,Movimientos!$C$2:$C$1000,TEXT($B$2,"yyyy-mm"))),"")</f>
        <v/>
      </c>
      <c r="J5">
        <f>IFERROR(IF(G5="","",H5-I5),"")</f>
        <v/>
      </c>
    </row>
    <row r="6">
      <c r="A6" t="inlineStr">
        <is>
          <t>Balance mes</t>
        </is>
      </c>
      <c r="B6">
        <f>IFERROR(B3-B4,0)</f>
        <v/>
      </c>
      <c r="G6">
        <f>IF(Categorias!B5="","",Categorias!B5)</f>
        <v/>
      </c>
      <c r="H6">
        <f>IFERROR(IF(G6="","",Categorias!C5),"")</f>
        <v/>
      </c>
      <c r="I6">
        <f>IFERROR(IF(G6="","",SUMIFS(Movimientos!$G$2:$G$1000,Movimientos!$E$2:$E$1000,"Gasto",Movimientos!$F$2:$F$1000,G6,Movimientos!$C$2:$C$1000,TEXT($B$2,"yyyy-mm"))),"")</f>
        <v/>
      </c>
      <c r="J6">
        <f>IFERROR(IF(G6="","",H6-I6),"")</f>
        <v/>
      </c>
    </row>
    <row r="7">
      <c r="A7" t="inlineStr">
        <is>
          <t>Nº movimientos</t>
        </is>
      </c>
      <c r="B7">
        <f>IFERROR(COUNTIFS(Movimientos!C2:C1000,TEXT($B$2,"yyyy-mm")),0)</f>
        <v/>
      </c>
      <c r="G7">
        <f>IF(Categorias!B6="","",Categorias!B6)</f>
        <v/>
      </c>
      <c r="H7">
        <f>IFERROR(IF(G7="","",Categorias!C6),"")</f>
        <v/>
      </c>
      <c r="I7">
        <f>IFERROR(IF(G7="","",SUMIFS(Movimientos!$G$2:$G$1000,Movimientos!$E$2:$E$1000,"Gasto",Movimientos!$F$2:$F$1000,G7,Movimientos!$C$2:$C$1000,TEXT($B$2,"yyyy-mm"))),"")</f>
        <v/>
      </c>
      <c r="J7">
        <f>IFERROR(IF(G7="","",H7-I7),"")</f>
        <v/>
      </c>
    </row>
    <row r="8">
      <c r="A8" t="inlineStr">
        <is>
          <t>Presupuesto gasto categorías activas</t>
        </is>
      </c>
      <c r="B8">
        <f>IFERROR(SUMIFS(Categorias!C2:C200,Categorias!D2:D200,"Gasto",Categorias!E2:E200,"Sí"),0)</f>
        <v/>
      </c>
      <c r="G8">
        <f>IF(Categorias!B7="","",Categorias!B7)</f>
        <v/>
      </c>
      <c r="H8">
        <f>IFERROR(IF(G8="","",Categorias!C7),"")</f>
        <v/>
      </c>
      <c r="I8">
        <f>IFERROR(IF(G8="","",SUMIFS(Movimientos!$G$2:$G$1000,Movimientos!$E$2:$E$1000,"Gasto",Movimientos!$F$2:$F$1000,G8,Movimientos!$C$2:$C$1000,TEXT($B$2,"yyyy-mm"))),"")</f>
        <v/>
      </c>
      <c r="J8">
        <f>IFERROR(IF(G8="","",H8-I8),"")</f>
        <v/>
      </c>
    </row>
    <row r="9">
      <c r="A9" t="inlineStr">
        <is>
          <t>Gasto vs presupuesto</t>
        </is>
      </c>
      <c r="B9">
        <f>IFERROR(IF(B8=0,"",B4/B8),"")</f>
        <v/>
      </c>
      <c r="G9">
        <f>IF(Categorias!B8="","",Categorias!B8)</f>
        <v/>
      </c>
      <c r="H9">
        <f>IFERROR(IF(G9="","",Categorias!C8),"")</f>
        <v/>
      </c>
      <c r="I9">
        <f>IFERROR(IF(G9="","",SUMIFS(Movimientos!$G$2:$G$1000,Movimientos!$E$2:$E$1000,"Gasto",Movimientos!$F$2:$F$1000,G9,Movimientos!$C$2:$C$1000,TEXT($B$2,"yyyy-mm"))),"")</f>
        <v/>
      </c>
      <c r="J9">
        <f>IFERROR(IF(G9="","",H9-I9),"")</f>
        <v/>
      </c>
    </row>
    <row r="10">
      <c r="G10">
        <f>IF(Categorias!B9="","",Categorias!B9)</f>
        <v/>
      </c>
      <c r="H10">
        <f>IFERROR(IF(G10="","",Categorias!C9),"")</f>
        <v/>
      </c>
      <c r="I10">
        <f>IFERROR(IF(G10="","",SUMIFS(Movimientos!$G$2:$G$1000,Movimientos!$E$2:$E$1000,"Gasto",Movimientos!$F$2:$F$1000,G10,Movimientos!$C$2:$C$1000,TEXT($B$2,"yyyy-mm"))),"")</f>
        <v/>
      </c>
      <c r="J10">
        <f>IFERROR(IF(G10="","",H10-I10),"")</f>
        <v/>
      </c>
    </row>
    <row r="11">
      <c r="A11" t="inlineStr">
        <is>
          <t>Resumen anual</t>
        </is>
      </c>
      <c r="G11">
        <f>IF(Categorias!B10="","",Categorias!B10)</f>
        <v/>
      </c>
      <c r="H11">
        <f>IFERROR(IF(G11="","",Categorias!C10),"")</f>
        <v/>
      </c>
      <c r="I11">
        <f>IFERROR(IF(G11="","",SUMIFS(Movimientos!$G$2:$G$1000,Movimientos!$E$2:$E$1000,"Gasto",Movimientos!$F$2:$F$1000,G11,Movimientos!$C$2:$C$1000,TEXT($B$2,"yyyy-mm"))),"")</f>
        <v/>
      </c>
      <c r="J11">
        <f>IFERROR(IF(G11="","",H11-I11),"")</f>
        <v/>
      </c>
    </row>
    <row r="12">
      <c r="A12" t="inlineStr">
        <is>
          <t>Mes</t>
        </is>
      </c>
      <c r="B12" t="inlineStr">
        <is>
          <t>Ingresos</t>
        </is>
      </c>
      <c r="C12" t="inlineStr">
        <is>
          <t>Gastos</t>
        </is>
      </c>
      <c r="D12" t="inlineStr">
        <is>
          <t>Ahorro</t>
        </is>
      </c>
      <c r="E12" t="inlineStr">
        <is>
          <t>Balance</t>
        </is>
      </c>
      <c r="G12">
        <f>IF(Categorias!B11="","",Categorias!B11)</f>
        <v/>
      </c>
      <c r="H12">
        <f>IFERROR(IF(G12="","",Categorias!C11),"")</f>
        <v/>
      </c>
      <c r="I12">
        <f>IFERROR(IF(G12="","",SUMIFS(Movimientos!$G$2:$G$1000,Movimientos!$E$2:$E$1000,"Gasto",Movimientos!$F$2:$F$1000,G12,Movimientos!$C$2:$C$1000,TEXT($B$2,"yyyy-mm"))),"")</f>
        <v/>
      </c>
      <c r="J12">
        <f>IFERROR(IF(G12="","",H12-I12),"")</f>
        <v/>
      </c>
    </row>
    <row r="13">
      <c r="A13">
        <f>DATE(Config!$B$4,1,1)</f>
        <v/>
      </c>
      <c r="B13">
        <f>IFERROR(SUMIFS(Movimientos!$G$2:$G$1000,Movimientos!$E$2:$E$1000,"Ingreso",Movimientos!$C$2:$C$1000,TEXT(A13,"yyyy-mm")),0)</f>
        <v/>
      </c>
      <c r="C13">
        <f>IFERROR(SUMIFS(Movimientos!$G$2:$G$1000,Movimientos!$E$2:$E$1000,"Gasto",Movimientos!$C$2:$C$1000,TEXT(A13,"yyyy-mm")),0)</f>
        <v/>
      </c>
      <c r="D13">
        <f>IFERROR(SUMIFS(Movimientos!$G$2:$G$1000,Movimientos!$E$2:$E$1000,"Ahorro",Movimientos!$C$2:$C$1000,TEXT(A13,"yyyy-mm")),0)</f>
        <v/>
      </c>
      <c r="E13">
        <f>IFERROR(B13-C13,0)</f>
        <v/>
      </c>
      <c r="G13">
        <f>IF(Categorias!B12="","",Categorias!B12)</f>
        <v/>
      </c>
      <c r="H13">
        <f>IFERROR(IF(G13="","",Categorias!C12),"")</f>
        <v/>
      </c>
      <c r="I13">
        <f>IFERROR(IF(G13="","",SUMIFS(Movimientos!$G$2:$G$1000,Movimientos!$E$2:$E$1000,"Gasto",Movimientos!$F$2:$F$1000,G13,Movimientos!$C$2:$C$1000,TEXT($B$2,"yyyy-mm"))),"")</f>
        <v/>
      </c>
      <c r="J13">
        <f>IFERROR(IF(G13="","",H13-I13),"")</f>
        <v/>
      </c>
    </row>
    <row r="14">
      <c r="A14">
        <f>DATE(Config!$B$4,2,1)</f>
        <v/>
      </c>
      <c r="B14">
        <f>IFERROR(SUMIFS(Movimientos!$G$2:$G$1000,Movimientos!$E$2:$E$1000,"Ingreso",Movimientos!$C$2:$C$1000,TEXT(A14,"yyyy-mm")),0)</f>
        <v/>
      </c>
      <c r="C14">
        <f>IFERROR(SUMIFS(Movimientos!$G$2:$G$1000,Movimientos!$E$2:$E$1000,"Gasto",Movimientos!$C$2:$C$1000,TEXT(A14,"yyyy-mm")),0)</f>
        <v/>
      </c>
      <c r="D14">
        <f>IFERROR(SUMIFS(Movimientos!$G$2:$G$1000,Movimientos!$E$2:$E$1000,"Ahorro",Movimientos!$C$2:$C$1000,TEXT(A14,"yyyy-mm")),0)</f>
        <v/>
      </c>
      <c r="E14">
        <f>IFERROR(B14-C14,0)</f>
        <v/>
      </c>
      <c r="G14">
        <f>IF(Categorias!B13="","",Categorias!B13)</f>
        <v/>
      </c>
      <c r="H14">
        <f>IFERROR(IF(G14="","",Categorias!C13),"")</f>
        <v/>
      </c>
      <c r="I14">
        <f>IFERROR(IF(G14="","",SUMIFS(Movimientos!$G$2:$G$1000,Movimientos!$E$2:$E$1000,"Gasto",Movimientos!$F$2:$F$1000,G14,Movimientos!$C$2:$C$1000,TEXT($B$2,"yyyy-mm"))),"")</f>
        <v/>
      </c>
      <c r="J14">
        <f>IFERROR(IF(G14="","",H14-I14),"")</f>
        <v/>
      </c>
    </row>
    <row r="15">
      <c r="A15">
        <f>DATE(Config!$B$4,3,1)</f>
        <v/>
      </c>
      <c r="B15">
        <f>IFERROR(SUMIFS(Movimientos!$G$2:$G$1000,Movimientos!$E$2:$E$1000,"Ingreso",Movimientos!$C$2:$C$1000,TEXT(A15,"yyyy-mm")),0)</f>
        <v/>
      </c>
      <c r="C15">
        <f>IFERROR(SUMIFS(Movimientos!$G$2:$G$1000,Movimientos!$E$2:$E$1000,"Gasto",Movimientos!$C$2:$C$1000,TEXT(A15,"yyyy-mm")),0)</f>
        <v/>
      </c>
      <c r="D15">
        <f>IFERROR(SUMIFS(Movimientos!$G$2:$G$1000,Movimientos!$E$2:$E$1000,"Ahorro",Movimientos!$C$2:$C$1000,TEXT(A15,"yyyy-mm")),0)</f>
        <v/>
      </c>
      <c r="E15">
        <f>IFERROR(B15-C15,0)</f>
        <v/>
      </c>
      <c r="G15">
        <f>IF(Categorias!B14="","",Categorias!B14)</f>
        <v/>
      </c>
      <c r="H15">
        <f>IFERROR(IF(G15="","",Categorias!C14),"")</f>
        <v/>
      </c>
      <c r="I15">
        <f>IFERROR(IF(G15="","",SUMIFS(Movimientos!$G$2:$G$1000,Movimientos!$E$2:$E$1000,"Gasto",Movimientos!$F$2:$F$1000,G15,Movimientos!$C$2:$C$1000,TEXT($B$2,"yyyy-mm"))),"")</f>
        <v/>
      </c>
      <c r="J15">
        <f>IFERROR(IF(G15="","",H15-I15),"")</f>
        <v/>
      </c>
    </row>
    <row r="16">
      <c r="A16">
        <f>DATE(Config!$B$4,4,1)</f>
        <v/>
      </c>
      <c r="B16">
        <f>IFERROR(SUMIFS(Movimientos!$G$2:$G$1000,Movimientos!$E$2:$E$1000,"Ingreso",Movimientos!$C$2:$C$1000,TEXT(A16,"yyyy-mm")),0)</f>
        <v/>
      </c>
      <c r="C16">
        <f>IFERROR(SUMIFS(Movimientos!$G$2:$G$1000,Movimientos!$E$2:$E$1000,"Gasto",Movimientos!$C$2:$C$1000,TEXT(A16,"yyyy-mm")),0)</f>
        <v/>
      </c>
      <c r="D16">
        <f>IFERROR(SUMIFS(Movimientos!$G$2:$G$1000,Movimientos!$E$2:$E$1000,"Ahorro",Movimientos!$C$2:$C$1000,TEXT(A16,"yyyy-mm")),0)</f>
        <v/>
      </c>
      <c r="E16">
        <f>IFERROR(B16-C16,0)</f>
        <v/>
      </c>
      <c r="G16">
        <f>IF(Categorias!B15="","",Categorias!B15)</f>
        <v/>
      </c>
      <c r="H16">
        <f>IFERROR(IF(G16="","",Categorias!C15),"")</f>
        <v/>
      </c>
      <c r="I16">
        <f>IFERROR(IF(G16="","",SUMIFS(Movimientos!$G$2:$G$1000,Movimientos!$E$2:$E$1000,"Gasto",Movimientos!$F$2:$F$1000,G16,Movimientos!$C$2:$C$1000,TEXT($B$2,"yyyy-mm"))),"")</f>
        <v/>
      </c>
      <c r="J16">
        <f>IFERROR(IF(G16="","",H16-I16),"")</f>
        <v/>
      </c>
    </row>
    <row r="17">
      <c r="A17">
        <f>DATE(Config!$B$4,5,1)</f>
        <v/>
      </c>
      <c r="B17">
        <f>IFERROR(SUMIFS(Movimientos!$G$2:$G$1000,Movimientos!$E$2:$E$1000,"Ingreso",Movimientos!$C$2:$C$1000,TEXT(A17,"yyyy-mm")),0)</f>
        <v/>
      </c>
      <c r="C17">
        <f>IFERROR(SUMIFS(Movimientos!$G$2:$G$1000,Movimientos!$E$2:$E$1000,"Gasto",Movimientos!$C$2:$C$1000,TEXT(A17,"yyyy-mm")),0)</f>
        <v/>
      </c>
      <c r="D17">
        <f>IFERROR(SUMIFS(Movimientos!$G$2:$G$1000,Movimientos!$E$2:$E$1000,"Ahorro",Movimientos!$C$2:$C$1000,TEXT(A17,"yyyy-mm")),0)</f>
        <v/>
      </c>
      <c r="E17">
        <f>IFERROR(B17-C17,0)</f>
        <v/>
      </c>
      <c r="G17">
        <f>IF(Categorias!B16="","",Categorias!B16)</f>
        <v/>
      </c>
      <c r="H17">
        <f>IFERROR(IF(G17="","",Categorias!C16),"")</f>
        <v/>
      </c>
      <c r="I17">
        <f>IFERROR(IF(G17="","",SUMIFS(Movimientos!$G$2:$G$1000,Movimientos!$E$2:$E$1000,"Gasto",Movimientos!$F$2:$F$1000,G17,Movimientos!$C$2:$C$1000,TEXT($B$2,"yyyy-mm"))),"")</f>
        <v/>
      </c>
      <c r="J17">
        <f>IFERROR(IF(G17="","",H17-I17),"")</f>
        <v/>
      </c>
    </row>
    <row r="18">
      <c r="A18">
        <f>DATE(Config!$B$4,6,1)</f>
        <v/>
      </c>
      <c r="B18">
        <f>IFERROR(SUMIFS(Movimientos!$G$2:$G$1000,Movimientos!$E$2:$E$1000,"Ingreso",Movimientos!$C$2:$C$1000,TEXT(A18,"yyyy-mm")),0)</f>
        <v/>
      </c>
      <c r="C18">
        <f>IFERROR(SUMIFS(Movimientos!$G$2:$G$1000,Movimientos!$E$2:$E$1000,"Gasto",Movimientos!$C$2:$C$1000,TEXT(A18,"yyyy-mm")),0)</f>
        <v/>
      </c>
      <c r="D18">
        <f>IFERROR(SUMIFS(Movimientos!$G$2:$G$1000,Movimientos!$E$2:$E$1000,"Ahorro",Movimientos!$C$2:$C$1000,TEXT(A18,"yyyy-mm")),0)</f>
        <v/>
      </c>
      <c r="E18">
        <f>IFERROR(B18-C18,0)</f>
        <v/>
      </c>
      <c r="G18">
        <f>IF(Categorias!B17="","",Categorias!B17)</f>
        <v/>
      </c>
      <c r="H18">
        <f>IFERROR(IF(G18="","",Categorias!C17),"")</f>
        <v/>
      </c>
      <c r="I18">
        <f>IFERROR(IF(G18="","",SUMIFS(Movimientos!$G$2:$G$1000,Movimientos!$E$2:$E$1000,"Gasto",Movimientos!$F$2:$F$1000,G18,Movimientos!$C$2:$C$1000,TEXT($B$2,"yyyy-mm"))),"")</f>
        <v/>
      </c>
      <c r="J18">
        <f>IFERROR(IF(G18="","",H18-I18),"")</f>
        <v/>
      </c>
    </row>
    <row r="19">
      <c r="A19">
        <f>DATE(Config!$B$4,7,1)</f>
        <v/>
      </c>
      <c r="B19">
        <f>IFERROR(SUMIFS(Movimientos!$G$2:$G$1000,Movimientos!$E$2:$E$1000,"Ingreso",Movimientos!$C$2:$C$1000,TEXT(A19,"yyyy-mm")),0)</f>
        <v/>
      </c>
      <c r="C19">
        <f>IFERROR(SUMIFS(Movimientos!$G$2:$G$1000,Movimientos!$E$2:$E$1000,"Gasto",Movimientos!$C$2:$C$1000,TEXT(A19,"yyyy-mm")),0)</f>
        <v/>
      </c>
      <c r="D19">
        <f>IFERROR(SUMIFS(Movimientos!$G$2:$G$1000,Movimientos!$E$2:$E$1000,"Ahorro",Movimientos!$C$2:$C$1000,TEXT(A19,"yyyy-mm")),0)</f>
        <v/>
      </c>
      <c r="E19">
        <f>IFERROR(B19-C19,0)</f>
        <v/>
      </c>
      <c r="G19">
        <f>IF(Categorias!B18="","",Categorias!B18)</f>
        <v/>
      </c>
      <c r="H19">
        <f>IFERROR(IF(G19="","",Categorias!C18),"")</f>
        <v/>
      </c>
      <c r="I19">
        <f>IFERROR(IF(G19="","",SUMIFS(Movimientos!$G$2:$G$1000,Movimientos!$E$2:$E$1000,"Gasto",Movimientos!$F$2:$F$1000,G19,Movimientos!$C$2:$C$1000,TEXT($B$2,"yyyy-mm"))),"")</f>
        <v/>
      </c>
      <c r="J19">
        <f>IFERROR(IF(G19="","",H19-I19),"")</f>
        <v/>
      </c>
    </row>
    <row r="20">
      <c r="A20">
        <f>DATE(Config!$B$4,8,1)</f>
        <v/>
      </c>
      <c r="B20">
        <f>IFERROR(SUMIFS(Movimientos!$G$2:$G$1000,Movimientos!$E$2:$E$1000,"Ingreso",Movimientos!$C$2:$C$1000,TEXT(A20,"yyyy-mm")),0)</f>
        <v/>
      </c>
      <c r="C20">
        <f>IFERROR(SUMIFS(Movimientos!$G$2:$G$1000,Movimientos!$E$2:$E$1000,"Gasto",Movimientos!$C$2:$C$1000,TEXT(A20,"yyyy-mm")),0)</f>
        <v/>
      </c>
      <c r="D20">
        <f>IFERROR(SUMIFS(Movimientos!$G$2:$G$1000,Movimientos!$E$2:$E$1000,"Ahorro",Movimientos!$C$2:$C$1000,TEXT(A20,"yyyy-mm")),0)</f>
        <v/>
      </c>
      <c r="E20">
        <f>IFERROR(B20-C20,0)</f>
        <v/>
      </c>
      <c r="G20">
        <f>IF(Categorias!B19="","",Categorias!B19)</f>
        <v/>
      </c>
      <c r="H20">
        <f>IFERROR(IF(G20="","",Categorias!C19),"")</f>
        <v/>
      </c>
      <c r="I20">
        <f>IFERROR(IF(G20="","",SUMIFS(Movimientos!$G$2:$G$1000,Movimientos!$E$2:$E$1000,"Gasto",Movimientos!$F$2:$F$1000,G20,Movimientos!$C$2:$C$1000,TEXT($B$2,"yyyy-mm"))),"")</f>
        <v/>
      </c>
      <c r="J20">
        <f>IFERROR(IF(G20="","",H20-I20),"")</f>
        <v/>
      </c>
    </row>
    <row r="21">
      <c r="A21">
        <f>DATE(Config!$B$4,9,1)</f>
        <v/>
      </c>
      <c r="B21">
        <f>IFERROR(SUMIFS(Movimientos!$G$2:$G$1000,Movimientos!$E$2:$E$1000,"Ingreso",Movimientos!$C$2:$C$1000,TEXT(A21,"yyyy-mm")),0)</f>
        <v/>
      </c>
      <c r="C21">
        <f>IFERROR(SUMIFS(Movimientos!$G$2:$G$1000,Movimientos!$E$2:$E$1000,"Gasto",Movimientos!$C$2:$C$1000,TEXT(A21,"yyyy-mm")),0)</f>
        <v/>
      </c>
      <c r="D21">
        <f>IFERROR(SUMIFS(Movimientos!$G$2:$G$1000,Movimientos!$E$2:$E$1000,"Ahorro",Movimientos!$C$2:$C$1000,TEXT(A21,"yyyy-mm")),0)</f>
        <v/>
      </c>
      <c r="E21">
        <f>IFERROR(B21-C21,0)</f>
        <v/>
      </c>
      <c r="G21">
        <f>IF(Categorias!B20="","",Categorias!B20)</f>
        <v/>
      </c>
      <c r="H21">
        <f>IFERROR(IF(G21="","",Categorias!C20),"")</f>
        <v/>
      </c>
      <c r="I21">
        <f>IFERROR(IF(G21="","",SUMIFS(Movimientos!$G$2:$G$1000,Movimientos!$E$2:$E$1000,"Gasto",Movimientos!$F$2:$F$1000,G21,Movimientos!$C$2:$C$1000,TEXT($B$2,"yyyy-mm"))),"")</f>
        <v/>
      </c>
      <c r="J21">
        <f>IFERROR(IF(G21="","",H21-I21),"")</f>
        <v/>
      </c>
    </row>
    <row r="22">
      <c r="A22">
        <f>DATE(Config!$B$4,10,1)</f>
        <v/>
      </c>
      <c r="B22">
        <f>IFERROR(SUMIFS(Movimientos!$G$2:$G$1000,Movimientos!$E$2:$E$1000,"Ingreso",Movimientos!$C$2:$C$1000,TEXT(A22,"yyyy-mm")),0)</f>
        <v/>
      </c>
      <c r="C22">
        <f>IFERROR(SUMIFS(Movimientos!$G$2:$G$1000,Movimientos!$E$2:$E$1000,"Gasto",Movimientos!$C$2:$C$1000,TEXT(A22,"yyyy-mm")),0)</f>
        <v/>
      </c>
      <c r="D22">
        <f>IFERROR(SUMIFS(Movimientos!$G$2:$G$1000,Movimientos!$E$2:$E$1000,"Ahorro",Movimientos!$C$2:$C$1000,TEXT(A22,"yyyy-mm")),0)</f>
        <v/>
      </c>
      <c r="E22">
        <f>IFERROR(B22-C22,0)</f>
        <v/>
      </c>
      <c r="G22">
        <f>IF(Categorias!B21="","",Categorias!B21)</f>
        <v/>
      </c>
      <c r="H22">
        <f>IFERROR(IF(G22="","",Categorias!C21),"")</f>
        <v/>
      </c>
      <c r="I22">
        <f>IFERROR(IF(G22="","",SUMIFS(Movimientos!$G$2:$G$1000,Movimientos!$E$2:$E$1000,"Gasto",Movimientos!$F$2:$F$1000,G22,Movimientos!$C$2:$C$1000,TEXT($B$2,"yyyy-mm"))),"")</f>
        <v/>
      </c>
      <c r="J22">
        <f>IFERROR(IF(G22="","",H22-I22),"")</f>
        <v/>
      </c>
    </row>
    <row r="23">
      <c r="A23">
        <f>DATE(Config!$B$4,11,1)</f>
        <v/>
      </c>
      <c r="B23">
        <f>IFERROR(SUMIFS(Movimientos!$G$2:$G$1000,Movimientos!$E$2:$E$1000,"Ingreso",Movimientos!$C$2:$C$1000,TEXT(A23,"yyyy-mm")),0)</f>
        <v/>
      </c>
      <c r="C23">
        <f>IFERROR(SUMIFS(Movimientos!$G$2:$G$1000,Movimientos!$E$2:$E$1000,"Gasto",Movimientos!$C$2:$C$1000,TEXT(A23,"yyyy-mm")),0)</f>
        <v/>
      </c>
      <c r="D23">
        <f>IFERROR(SUMIFS(Movimientos!$G$2:$G$1000,Movimientos!$E$2:$E$1000,"Ahorro",Movimientos!$C$2:$C$1000,TEXT(A23,"yyyy-mm")),0)</f>
        <v/>
      </c>
      <c r="E23">
        <f>IFERROR(B23-C23,0)</f>
        <v/>
      </c>
    </row>
    <row r="24">
      <c r="A24">
        <f>DATE(Config!$B$4,12,1)</f>
        <v/>
      </c>
      <c r="B24">
        <f>IFERROR(SUMIFS(Movimientos!$G$2:$G$1000,Movimientos!$E$2:$E$1000,"Ingreso",Movimientos!$C$2:$C$1000,TEXT(A24,"yyyy-mm")),0)</f>
        <v/>
      </c>
      <c r="C24">
        <f>IFERROR(SUMIFS(Movimientos!$G$2:$G$1000,Movimientos!$E$2:$E$1000,"Gasto",Movimientos!$C$2:$C$1000,TEXT(A24,"yyyy-mm")),0)</f>
        <v/>
      </c>
      <c r="D24">
        <f>IFERROR(SUMIFS(Movimientos!$G$2:$G$1000,Movimientos!$E$2:$E$1000,"Ahorro",Movimientos!$C$2:$C$1000,TEXT(A24,"yyyy-mm")),0)</f>
        <v/>
      </c>
      <c r="E24">
        <f>IFERROR(B24-C24,0)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VISTA MES / ALTA RÁPIDA DE MOVIMIENTO</t>
        </is>
      </c>
      <c r="D1" t="inlineStr">
        <is>
          <t>Resumen del mes activo</t>
        </is>
      </c>
    </row>
    <row r="2">
      <c r="A2" t="inlineStr">
        <is>
          <t>Mes activo</t>
        </is>
      </c>
      <c r="B2">
        <f>Config!B6</f>
        <v/>
      </c>
    </row>
    <row r="3">
      <c r="A3" t="inlineStr">
        <is>
          <t>Campo</t>
        </is>
      </c>
      <c r="B3" t="inlineStr">
        <is>
          <t>Valor</t>
        </is>
      </c>
      <c r="D3" t="inlineStr">
        <is>
          <t>Fecha</t>
        </is>
      </c>
      <c r="E3" t="inlineStr">
        <is>
          <t>Concepto</t>
        </is>
      </c>
      <c r="F3" t="inlineStr">
        <is>
          <t>Tipo</t>
        </is>
      </c>
      <c r="G3" t="inlineStr">
        <is>
          <t>Categoría</t>
        </is>
      </c>
      <c r="H3" t="inlineStr">
        <is>
          <t>Importe</t>
        </is>
      </c>
    </row>
    <row r="4">
      <c r="A4" t="inlineStr">
        <is>
          <t>Día</t>
        </is>
      </c>
      <c r="D4" t="inlineStr">
        <is>
          <t>La app o Apps Script pueden rellenar aquí movimientos filtrados del mes activo.</t>
        </is>
      </c>
    </row>
    <row r="5">
      <c r="A5" t="inlineStr">
        <is>
          <t>Concepto</t>
        </is>
      </c>
    </row>
    <row r="6">
      <c r="A6" t="inlineStr">
        <is>
          <t>Tipo</t>
        </is>
      </c>
    </row>
    <row r="7">
      <c r="A7" t="inlineStr">
        <is>
          <t>Categoría</t>
        </is>
      </c>
    </row>
    <row r="8">
      <c r="A8" t="inlineStr">
        <is>
          <t>Importe</t>
        </is>
      </c>
    </row>
    <row r="9">
      <c r="A9" t="inlineStr">
        <is>
          <t>Método</t>
        </is>
      </c>
    </row>
    <row r="10">
      <c r="A10" t="inlineStr">
        <is>
          <t>Cuenta origen</t>
        </is>
      </c>
    </row>
    <row r="11">
      <c r="A11" t="inlineStr">
        <is>
          <t>Cuenta destino</t>
        </is>
      </c>
    </row>
    <row r="12">
      <c r="A12" t="inlineStr">
        <is>
          <t>Notas</t>
        </is>
      </c>
    </row>
    <row r="13"/>
    <row r="14">
      <c r="A14" t="inlineStr">
        <is>
          <t>Para guardar desde Apps Script, escribe GUARDAR en la celda B15.</t>
        </is>
      </c>
    </row>
    <row r="15">
      <c r="A15" t="inlineStr">
        <is>
          <t>Acción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fecha</t>
        </is>
      </c>
      <c r="C1" t="inlineStr">
        <is>
          <t>mesClave</t>
        </is>
      </c>
      <c r="D1" t="inlineStr">
        <is>
          <t>concepto</t>
        </is>
      </c>
      <c r="E1" t="inlineStr">
        <is>
          <t>tipo</t>
        </is>
      </c>
      <c r="F1" t="inlineStr">
        <is>
          <t>categoria</t>
        </is>
      </c>
      <c r="G1" t="inlineStr">
        <is>
          <t>importe</t>
        </is>
      </c>
      <c r="H1" t="inlineStr">
        <is>
          <t>metodo</t>
        </is>
      </c>
      <c r="I1" t="inlineStr">
        <is>
          <t>cuentaOrigen</t>
        </is>
      </c>
      <c r="J1" t="inlineStr">
        <is>
          <t>cuentaDestino</t>
        </is>
      </c>
      <c r="K1" t="inlineStr">
        <is>
          <t>notas</t>
        </is>
      </c>
      <c r="L1" t="inlineStr">
        <is>
          <t>reservaId</t>
        </is>
      </c>
      <c r="M1" t="inlineStr">
        <is>
          <t>createdAt</t>
        </is>
      </c>
      <c r="N1" t="inlineStr">
        <is>
          <t>updatedAt</t>
        </is>
      </c>
      <c r="O1" t="inlineStr">
        <is>
          <t>deletedAt</t>
        </is>
      </c>
    </row>
    <row r="2">
      <c r="C2">
        <f>IF(B2="","",TEXT(B2,"yyyy-mm"))</f>
        <v/>
      </c>
    </row>
    <row r="3">
      <c r="C3">
        <f>IF(B3="","",TEXT(B3,"yyyy-mm"))</f>
        <v/>
      </c>
    </row>
    <row r="4">
      <c r="C4">
        <f>IF(B4="","",TEXT(B4,"yyyy-mm"))</f>
        <v/>
      </c>
    </row>
    <row r="5">
      <c r="C5">
        <f>IF(B5="","",TEXT(B5,"yyyy-mm"))</f>
        <v/>
      </c>
    </row>
    <row r="6">
      <c r="C6">
        <f>IF(B6="","",TEXT(B6,"yyyy-mm"))</f>
        <v/>
      </c>
    </row>
    <row r="7">
      <c r="C7">
        <f>IF(B7="","",TEXT(B7,"yyyy-mm"))</f>
        <v/>
      </c>
    </row>
    <row r="8">
      <c r="C8">
        <f>IF(B8="","",TEXT(B8,"yyyy-mm"))</f>
        <v/>
      </c>
    </row>
    <row r="9">
      <c r="C9">
        <f>IF(B9="","",TEXT(B9,"yyyy-mm"))</f>
        <v/>
      </c>
    </row>
    <row r="10">
      <c r="C10">
        <f>IF(B10="","",TEXT(B10,"yyyy-mm"))</f>
        <v/>
      </c>
    </row>
    <row r="11">
      <c r="C11">
        <f>IF(B11="","",TEXT(B11,"yyyy-mm"))</f>
        <v/>
      </c>
    </row>
    <row r="12">
      <c r="C12">
        <f>IF(B12="","",TEXT(B12,"yyyy-mm"))</f>
        <v/>
      </c>
    </row>
    <row r="13">
      <c r="C13">
        <f>IF(B13="","",TEXT(B13,"yyyy-mm"))</f>
        <v/>
      </c>
    </row>
    <row r="14">
      <c r="C14">
        <f>IF(B14="","",TEXT(B14,"yyyy-mm"))</f>
        <v/>
      </c>
    </row>
    <row r="15">
      <c r="C15">
        <f>IF(B15="","",TEXT(B15,"yyyy-mm"))</f>
        <v/>
      </c>
    </row>
    <row r="16">
      <c r="C16">
        <f>IF(B16="","",TEXT(B16,"yyyy-mm"))</f>
        <v/>
      </c>
    </row>
    <row r="17">
      <c r="C17">
        <f>IF(B17="","",TEXT(B17,"yyyy-mm"))</f>
        <v/>
      </c>
    </row>
    <row r="18">
      <c r="C18">
        <f>IF(B18="","",TEXT(B18,"yyyy-mm"))</f>
        <v/>
      </c>
    </row>
    <row r="19">
      <c r="C19">
        <f>IF(B19="","",TEXT(B19,"yyyy-mm"))</f>
        <v/>
      </c>
    </row>
    <row r="20">
      <c r="C20">
        <f>IF(B20="","",TEXT(B20,"yyyy-mm"))</f>
        <v/>
      </c>
    </row>
    <row r="21">
      <c r="C21">
        <f>IF(B21="","",TEXT(B21,"yyyy-mm"))</f>
        <v/>
      </c>
    </row>
    <row r="22">
      <c r="C22">
        <f>IF(B22="","",TEXT(B22,"yyyy-mm"))</f>
        <v/>
      </c>
    </row>
    <row r="23">
      <c r="C23">
        <f>IF(B23="","",TEXT(B23,"yyyy-mm"))</f>
        <v/>
      </c>
    </row>
    <row r="24">
      <c r="C24">
        <f>IF(B24="","",TEXT(B24,"yyyy-mm"))</f>
        <v/>
      </c>
    </row>
    <row r="25">
      <c r="C25">
        <f>IF(B25="","",TEXT(B25,"yyyy-mm"))</f>
        <v/>
      </c>
    </row>
    <row r="26">
      <c r="C26">
        <f>IF(B26="","",TEXT(B26,"yyyy-mm"))</f>
        <v/>
      </c>
    </row>
    <row r="27">
      <c r="C27">
        <f>IF(B27="","",TEXT(B27,"yyyy-mm"))</f>
        <v/>
      </c>
    </row>
    <row r="28">
      <c r="C28">
        <f>IF(B28="","",TEXT(B28,"yyyy-mm"))</f>
        <v/>
      </c>
    </row>
    <row r="29">
      <c r="C29">
        <f>IF(B29="","",TEXT(B29,"yyyy-mm"))</f>
        <v/>
      </c>
    </row>
    <row r="30">
      <c r="C30">
        <f>IF(B30="","",TEXT(B30,"yyyy-mm"))</f>
        <v/>
      </c>
    </row>
    <row r="31">
      <c r="C31">
        <f>IF(B31="","",TEXT(B31,"yyyy-mm"))</f>
        <v/>
      </c>
    </row>
    <row r="32">
      <c r="C32">
        <f>IF(B32="","",TEXT(B32,"yyyy-mm"))</f>
        <v/>
      </c>
    </row>
    <row r="33">
      <c r="C33">
        <f>IF(B33="","",TEXT(B33,"yyyy-mm"))</f>
        <v/>
      </c>
    </row>
    <row r="34">
      <c r="C34">
        <f>IF(B34="","",TEXT(B34,"yyyy-mm"))</f>
        <v/>
      </c>
    </row>
    <row r="35">
      <c r="C35">
        <f>IF(B35="","",TEXT(B35,"yyyy-mm"))</f>
        <v/>
      </c>
    </row>
    <row r="36">
      <c r="C36">
        <f>IF(B36="","",TEXT(B36,"yyyy-mm"))</f>
        <v/>
      </c>
    </row>
    <row r="37">
      <c r="C37">
        <f>IF(B37="","",TEXT(B37,"yyyy-mm"))</f>
        <v/>
      </c>
    </row>
    <row r="38">
      <c r="C38">
        <f>IF(B38="","",TEXT(B38,"yyyy-mm"))</f>
        <v/>
      </c>
    </row>
    <row r="39">
      <c r="C39">
        <f>IF(B39="","",TEXT(B39,"yyyy-mm"))</f>
        <v/>
      </c>
    </row>
    <row r="40">
      <c r="C40">
        <f>IF(B40="","",TEXT(B40,"yyyy-mm"))</f>
        <v/>
      </c>
    </row>
    <row r="41">
      <c r="C41">
        <f>IF(B41="","",TEXT(B41,"yyyy-mm"))</f>
        <v/>
      </c>
    </row>
    <row r="42">
      <c r="C42">
        <f>IF(B42="","",TEXT(B42,"yyyy-mm"))</f>
        <v/>
      </c>
    </row>
    <row r="43">
      <c r="C43">
        <f>IF(B43="","",TEXT(B43,"yyyy-mm"))</f>
        <v/>
      </c>
    </row>
    <row r="44">
      <c r="C44">
        <f>IF(B44="","",TEXT(B44,"yyyy-mm"))</f>
        <v/>
      </c>
    </row>
    <row r="45">
      <c r="C45">
        <f>IF(B45="","",TEXT(B45,"yyyy-mm"))</f>
        <v/>
      </c>
    </row>
    <row r="46">
      <c r="C46">
        <f>IF(B46="","",TEXT(B46,"yyyy-mm"))</f>
        <v/>
      </c>
    </row>
    <row r="47">
      <c r="C47">
        <f>IF(B47="","",TEXT(B47,"yyyy-mm"))</f>
        <v/>
      </c>
    </row>
    <row r="48">
      <c r="C48">
        <f>IF(B48="","",TEXT(B48,"yyyy-mm"))</f>
        <v/>
      </c>
    </row>
    <row r="49">
      <c r="C49">
        <f>IF(B49="","",TEXT(B49,"yyyy-mm"))</f>
        <v/>
      </c>
    </row>
    <row r="50">
      <c r="C50">
        <f>IF(B50="","",TEXT(B50,"yyyy-mm"))</f>
        <v/>
      </c>
    </row>
    <row r="51">
      <c r="C51">
        <f>IF(B51="","",TEXT(B51,"yyyy-mm"))</f>
        <v/>
      </c>
    </row>
    <row r="52">
      <c r="C52">
        <f>IF(B52="","",TEXT(B52,"yyyy-mm"))</f>
        <v/>
      </c>
    </row>
    <row r="53">
      <c r="C53">
        <f>IF(B53="","",TEXT(B53,"yyyy-mm"))</f>
        <v/>
      </c>
    </row>
    <row r="54">
      <c r="C54">
        <f>IF(B54="","",TEXT(B54,"yyyy-mm"))</f>
        <v/>
      </c>
    </row>
    <row r="55">
      <c r="C55">
        <f>IF(B55="","",TEXT(B55,"yyyy-mm"))</f>
        <v/>
      </c>
    </row>
    <row r="56">
      <c r="C56">
        <f>IF(B56="","",TEXT(B56,"yyyy-mm"))</f>
        <v/>
      </c>
    </row>
    <row r="57">
      <c r="C57">
        <f>IF(B57="","",TEXT(B57,"yyyy-mm"))</f>
        <v/>
      </c>
    </row>
    <row r="58">
      <c r="C58">
        <f>IF(B58="","",TEXT(B58,"yyyy-mm"))</f>
        <v/>
      </c>
    </row>
    <row r="59">
      <c r="C59">
        <f>IF(B59="","",TEXT(B59,"yyyy-mm"))</f>
        <v/>
      </c>
    </row>
    <row r="60">
      <c r="C60">
        <f>IF(B60="","",TEXT(B60,"yyyy-mm"))</f>
        <v/>
      </c>
    </row>
    <row r="61">
      <c r="C61">
        <f>IF(B61="","",TEXT(B61,"yyyy-mm"))</f>
        <v/>
      </c>
    </row>
    <row r="62">
      <c r="C62">
        <f>IF(B62="","",TEXT(B62,"yyyy-mm"))</f>
        <v/>
      </c>
    </row>
    <row r="63">
      <c r="C63">
        <f>IF(B63="","",TEXT(B63,"yyyy-mm"))</f>
        <v/>
      </c>
    </row>
    <row r="64">
      <c r="C64">
        <f>IF(B64="","",TEXT(B64,"yyyy-mm"))</f>
        <v/>
      </c>
    </row>
    <row r="65">
      <c r="C65">
        <f>IF(B65="","",TEXT(B65,"yyyy-mm"))</f>
        <v/>
      </c>
    </row>
    <row r="66">
      <c r="C66">
        <f>IF(B66="","",TEXT(B66,"yyyy-mm"))</f>
        <v/>
      </c>
    </row>
    <row r="67">
      <c r="C67">
        <f>IF(B67="","",TEXT(B67,"yyyy-mm"))</f>
        <v/>
      </c>
    </row>
    <row r="68">
      <c r="C68">
        <f>IF(B68="","",TEXT(B68,"yyyy-mm"))</f>
        <v/>
      </c>
    </row>
    <row r="69">
      <c r="C69">
        <f>IF(B69="","",TEXT(B69,"yyyy-mm"))</f>
        <v/>
      </c>
    </row>
    <row r="70">
      <c r="C70">
        <f>IF(B70="","",TEXT(B70,"yyyy-mm"))</f>
        <v/>
      </c>
    </row>
    <row r="71">
      <c r="C71">
        <f>IF(B71="","",TEXT(B71,"yyyy-mm"))</f>
        <v/>
      </c>
    </row>
    <row r="72">
      <c r="C72">
        <f>IF(B72="","",TEXT(B72,"yyyy-mm"))</f>
        <v/>
      </c>
    </row>
    <row r="73">
      <c r="C73">
        <f>IF(B73="","",TEXT(B73,"yyyy-mm"))</f>
        <v/>
      </c>
    </row>
    <row r="74">
      <c r="C74">
        <f>IF(B74="","",TEXT(B74,"yyyy-mm"))</f>
        <v/>
      </c>
    </row>
    <row r="75">
      <c r="C75">
        <f>IF(B75="","",TEXT(B75,"yyyy-mm"))</f>
        <v/>
      </c>
    </row>
    <row r="76">
      <c r="C76">
        <f>IF(B76="","",TEXT(B76,"yyyy-mm"))</f>
        <v/>
      </c>
    </row>
    <row r="77">
      <c r="C77">
        <f>IF(B77="","",TEXT(B77,"yyyy-mm"))</f>
        <v/>
      </c>
    </row>
    <row r="78">
      <c r="C78">
        <f>IF(B78="","",TEXT(B78,"yyyy-mm"))</f>
        <v/>
      </c>
    </row>
    <row r="79">
      <c r="C79">
        <f>IF(B79="","",TEXT(B79,"yyyy-mm"))</f>
        <v/>
      </c>
    </row>
    <row r="80">
      <c r="C80">
        <f>IF(B80="","",TEXT(B80,"yyyy-mm"))</f>
        <v/>
      </c>
    </row>
    <row r="81">
      <c r="C81">
        <f>IF(B81="","",TEXT(B81,"yyyy-mm"))</f>
        <v/>
      </c>
    </row>
    <row r="82">
      <c r="C82">
        <f>IF(B82="","",TEXT(B82,"yyyy-mm"))</f>
        <v/>
      </c>
    </row>
    <row r="83">
      <c r="C83">
        <f>IF(B83="","",TEXT(B83,"yyyy-mm"))</f>
        <v/>
      </c>
    </row>
    <row r="84">
      <c r="C84">
        <f>IF(B84="","",TEXT(B84,"yyyy-mm"))</f>
        <v/>
      </c>
    </row>
    <row r="85">
      <c r="C85">
        <f>IF(B85="","",TEXT(B85,"yyyy-mm"))</f>
        <v/>
      </c>
    </row>
    <row r="86">
      <c r="C86">
        <f>IF(B86="","",TEXT(B86,"yyyy-mm"))</f>
        <v/>
      </c>
    </row>
    <row r="87">
      <c r="C87">
        <f>IF(B87="","",TEXT(B87,"yyyy-mm"))</f>
        <v/>
      </c>
    </row>
    <row r="88">
      <c r="C88">
        <f>IF(B88="","",TEXT(B88,"yyyy-mm"))</f>
        <v/>
      </c>
    </row>
    <row r="89">
      <c r="C89">
        <f>IF(B89="","",TEXT(B89,"yyyy-mm"))</f>
        <v/>
      </c>
    </row>
    <row r="90">
      <c r="C90">
        <f>IF(B90="","",TEXT(B90,"yyyy-mm"))</f>
        <v/>
      </c>
    </row>
    <row r="91">
      <c r="C91">
        <f>IF(B91="","",TEXT(B91,"yyyy-mm"))</f>
        <v/>
      </c>
    </row>
    <row r="92">
      <c r="C92">
        <f>IF(B92="","",TEXT(B92,"yyyy-mm"))</f>
        <v/>
      </c>
    </row>
    <row r="93">
      <c r="C93">
        <f>IF(B93="","",TEXT(B93,"yyyy-mm"))</f>
        <v/>
      </c>
    </row>
    <row r="94">
      <c r="C94">
        <f>IF(B94="","",TEXT(B94,"yyyy-mm"))</f>
        <v/>
      </c>
    </row>
    <row r="95">
      <c r="C95">
        <f>IF(B95="","",TEXT(B95,"yyyy-mm"))</f>
        <v/>
      </c>
    </row>
    <row r="96">
      <c r="C96">
        <f>IF(B96="","",TEXT(B96,"yyyy-mm"))</f>
        <v/>
      </c>
    </row>
    <row r="97">
      <c r="C97">
        <f>IF(B97="","",TEXT(B97,"yyyy-mm"))</f>
        <v/>
      </c>
    </row>
    <row r="98">
      <c r="C98">
        <f>IF(B98="","",TEXT(B98,"yyyy-mm"))</f>
        <v/>
      </c>
    </row>
    <row r="99">
      <c r="C99">
        <f>IF(B99="","",TEXT(B99,"yyyy-mm"))</f>
        <v/>
      </c>
    </row>
    <row r="100">
      <c r="C100">
        <f>IF(B100="","",TEXT(B100,"yyyy-mm"))</f>
        <v/>
      </c>
    </row>
    <row r="101">
      <c r="C101">
        <f>IF(B101="","",TEXT(B101,"yyyy-mm"))</f>
        <v/>
      </c>
    </row>
    <row r="102">
      <c r="C102">
        <f>IF(B102="","",TEXT(B102,"yyyy-mm"))</f>
        <v/>
      </c>
    </row>
    <row r="103">
      <c r="C103">
        <f>IF(B103="","",TEXT(B103,"yyyy-mm"))</f>
        <v/>
      </c>
    </row>
    <row r="104">
      <c r="C104">
        <f>IF(B104="","",TEXT(B104,"yyyy-mm"))</f>
        <v/>
      </c>
    </row>
    <row r="105">
      <c r="C105">
        <f>IF(B105="","",TEXT(B105,"yyyy-mm"))</f>
        <v/>
      </c>
    </row>
    <row r="106">
      <c r="C106">
        <f>IF(B106="","",TEXT(B106,"yyyy-mm"))</f>
        <v/>
      </c>
    </row>
    <row r="107">
      <c r="C107">
        <f>IF(B107="","",TEXT(B107,"yyyy-mm"))</f>
        <v/>
      </c>
    </row>
    <row r="108">
      <c r="C108">
        <f>IF(B108="","",TEXT(B108,"yyyy-mm"))</f>
        <v/>
      </c>
    </row>
    <row r="109">
      <c r="C109">
        <f>IF(B109="","",TEXT(B109,"yyyy-mm"))</f>
        <v/>
      </c>
    </row>
    <row r="110">
      <c r="C110">
        <f>IF(B110="","",TEXT(B110,"yyyy-mm"))</f>
        <v/>
      </c>
    </row>
    <row r="111">
      <c r="C111">
        <f>IF(B111="","",TEXT(B111,"yyyy-mm"))</f>
        <v/>
      </c>
    </row>
    <row r="112">
      <c r="C112">
        <f>IF(B112="","",TEXT(B112,"yyyy-mm"))</f>
        <v/>
      </c>
    </row>
    <row r="113">
      <c r="C113">
        <f>IF(B113="","",TEXT(B113,"yyyy-mm"))</f>
        <v/>
      </c>
    </row>
    <row r="114">
      <c r="C114">
        <f>IF(B114="","",TEXT(B114,"yyyy-mm"))</f>
        <v/>
      </c>
    </row>
    <row r="115">
      <c r="C115">
        <f>IF(B115="","",TEXT(B115,"yyyy-mm"))</f>
        <v/>
      </c>
    </row>
    <row r="116">
      <c r="C116">
        <f>IF(B116="","",TEXT(B116,"yyyy-mm"))</f>
        <v/>
      </c>
    </row>
    <row r="117">
      <c r="C117">
        <f>IF(B117="","",TEXT(B117,"yyyy-mm"))</f>
        <v/>
      </c>
    </row>
    <row r="118">
      <c r="C118">
        <f>IF(B118="","",TEXT(B118,"yyyy-mm"))</f>
        <v/>
      </c>
    </row>
    <row r="119">
      <c r="C119">
        <f>IF(B119="","",TEXT(B119,"yyyy-mm"))</f>
        <v/>
      </c>
    </row>
    <row r="120">
      <c r="C120">
        <f>IF(B120="","",TEXT(B120,"yyyy-mm"))</f>
        <v/>
      </c>
    </row>
    <row r="121">
      <c r="C121">
        <f>IF(B121="","",TEXT(B121,"yyyy-mm"))</f>
        <v/>
      </c>
    </row>
    <row r="122">
      <c r="C122">
        <f>IF(B122="","",TEXT(B122,"yyyy-mm"))</f>
        <v/>
      </c>
    </row>
    <row r="123">
      <c r="C123">
        <f>IF(B123="","",TEXT(B123,"yyyy-mm"))</f>
        <v/>
      </c>
    </row>
    <row r="124">
      <c r="C124">
        <f>IF(B124="","",TEXT(B124,"yyyy-mm"))</f>
        <v/>
      </c>
    </row>
    <row r="125">
      <c r="C125">
        <f>IF(B125="","",TEXT(B125,"yyyy-mm"))</f>
        <v/>
      </c>
    </row>
    <row r="126">
      <c r="C126">
        <f>IF(B126="","",TEXT(B126,"yyyy-mm"))</f>
        <v/>
      </c>
    </row>
    <row r="127">
      <c r="C127">
        <f>IF(B127="","",TEXT(B127,"yyyy-mm"))</f>
        <v/>
      </c>
    </row>
    <row r="128">
      <c r="C128">
        <f>IF(B128="","",TEXT(B128,"yyyy-mm"))</f>
        <v/>
      </c>
    </row>
    <row r="129">
      <c r="C129">
        <f>IF(B129="","",TEXT(B129,"yyyy-mm"))</f>
        <v/>
      </c>
    </row>
    <row r="130">
      <c r="C130">
        <f>IF(B130="","",TEXT(B130,"yyyy-mm"))</f>
        <v/>
      </c>
    </row>
    <row r="131">
      <c r="C131">
        <f>IF(B131="","",TEXT(B131,"yyyy-mm"))</f>
        <v/>
      </c>
    </row>
    <row r="132">
      <c r="C132">
        <f>IF(B132="","",TEXT(B132,"yyyy-mm"))</f>
        <v/>
      </c>
    </row>
    <row r="133">
      <c r="C133">
        <f>IF(B133="","",TEXT(B133,"yyyy-mm"))</f>
        <v/>
      </c>
    </row>
    <row r="134">
      <c r="C134">
        <f>IF(B134="","",TEXT(B134,"yyyy-mm"))</f>
        <v/>
      </c>
    </row>
    <row r="135">
      <c r="C135">
        <f>IF(B135="","",TEXT(B135,"yyyy-mm"))</f>
        <v/>
      </c>
    </row>
    <row r="136">
      <c r="C136">
        <f>IF(B136="","",TEXT(B136,"yyyy-mm"))</f>
        <v/>
      </c>
    </row>
    <row r="137">
      <c r="C137">
        <f>IF(B137="","",TEXT(B137,"yyyy-mm"))</f>
        <v/>
      </c>
    </row>
    <row r="138">
      <c r="C138">
        <f>IF(B138="","",TEXT(B138,"yyyy-mm"))</f>
        <v/>
      </c>
    </row>
    <row r="139">
      <c r="C139">
        <f>IF(B139="","",TEXT(B139,"yyyy-mm"))</f>
        <v/>
      </c>
    </row>
    <row r="140">
      <c r="C140">
        <f>IF(B140="","",TEXT(B140,"yyyy-mm"))</f>
        <v/>
      </c>
    </row>
    <row r="141">
      <c r="C141">
        <f>IF(B141="","",TEXT(B141,"yyyy-mm"))</f>
        <v/>
      </c>
    </row>
    <row r="142">
      <c r="C142">
        <f>IF(B142="","",TEXT(B142,"yyyy-mm"))</f>
        <v/>
      </c>
    </row>
    <row r="143">
      <c r="C143">
        <f>IF(B143="","",TEXT(B143,"yyyy-mm"))</f>
        <v/>
      </c>
    </row>
    <row r="144">
      <c r="C144">
        <f>IF(B144="","",TEXT(B144,"yyyy-mm"))</f>
        <v/>
      </c>
    </row>
    <row r="145">
      <c r="C145">
        <f>IF(B145="","",TEXT(B145,"yyyy-mm"))</f>
        <v/>
      </c>
    </row>
    <row r="146">
      <c r="C146">
        <f>IF(B146="","",TEXT(B146,"yyyy-mm"))</f>
        <v/>
      </c>
    </row>
    <row r="147">
      <c r="C147">
        <f>IF(B147="","",TEXT(B147,"yyyy-mm"))</f>
        <v/>
      </c>
    </row>
    <row r="148">
      <c r="C148">
        <f>IF(B148="","",TEXT(B148,"yyyy-mm"))</f>
        <v/>
      </c>
    </row>
    <row r="149">
      <c r="C149">
        <f>IF(B149="","",TEXT(B149,"yyyy-mm"))</f>
        <v/>
      </c>
    </row>
    <row r="150">
      <c r="C150">
        <f>IF(B150="","",TEXT(B150,"yyyy-mm"))</f>
        <v/>
      </c>
    </row>
    <row r="151">
      <c r="C151">
        <f>IF(B151="","",TEXT(B151,"yyyy-mm"))</f>
        <v/>
      </c>
    </row>
    <row r="152">
      <c r="C152">
        <f>IF(B152="","",TEXT(B152,"yyyy-mm"))</f>
        <v/>
      </c>
    </row>
    <row r="153">
      <c r="C153">
        <f>IF(B153="","",TEXT(B153,"yyyy-mm"))</f>
        <v/>
      </c>
    </row>
    <row r="154">
      <c r="C154">
        <f>IF(B154="","",TEXT(B154,"yyyy-mm"))</f>
        <v/>
      </c>
    </row>
    <row r="155">
      <c r="C155">
        <f>IF(B155="","",TEXT(B155,"yyyy-mm"))</f>
        <v/>
      </c>
    </row>
    <row r="156">
      <c r="C156">
        <f>IF(B156="","",TEXT(B156,"yyyy-mm"))</f>
        <v/>
      </c>
    </row>
    <row r="157">
      <c r="C157">
        <f>IF(B157="","",TEXT(B157,"yyyy-mm"))</f>
        <v/>
      </c>
    </row>
    <row r="158">
      <c r="C158">
        <f>IF(B158="","",TEXT(B158,"yyyy-mm"))</f>
        <v/>
      </c>
    </row>
    <row r="159">
      <c r="C159">
        <f>IF(B159="","",TEXT(B159,"yyyy-mm"))</f>
        <v/>
      </c>
    </row>
    <row r="160">
      <c r="C160">
        <f>IF(B160="","",TEXT(B160,"yyyy-mm"))</f>
        <v/>
      </c>
    </row>
    <row r="161">
      <c r="C161">
        <f>IF(B161="","",TEXT(B161,"yyyy-mm"))</f>
        <v/>
      </c>
    </row>
    <row r="162">
      <c r="C162">
        <f>IF(B162="","",TEXT(B162,"yyyy-mm"))</f>
        <v/>
      </c>
    </row>
    <row r="163">
      <c r="C163">
        <f>IF(B163="","",TEXT(B163,"yyyy-mm"))</f>
        <v/>
      </c>
    </row>
    <row r="164">
      <c r="C164">
        <f>IF(B164="","",TEXT(B164,"yyyy-mm"))</f>
        <v/>
      </c>
    </row>
    <row r="165">
      <c r="C165">
        <f>IF(B165="","",TEXT(B165,"yyyy-mm"))</f>
        <v/>
      </c>
    </row>
    <row r="166">
      <c r="C166">
        <f>IF(B166="","",TEXT(B166,"yyyy-mm"))</f>
        <v/>
      </c>
    </row>
    <row r="167">
      <c r="C167">
        <f>IF(B167="","",TEXT(B167,"yyyy-mm"))</f>
        <v/>
      </c>
    </row>
    <row r="168">
      <c r="C168">
        <f>IF(B168="","",TEXT(B168,"yyyy-mm"))</f>
        <v/>
      </c>
    </row>
    <row r="169">
      <c r="C169">
        <f>IF(B169="","",TEXT(B169,"yyyy-mm"))</f>
        <v/>
      </c>
    </row>
    <row r="170">
      <c r="C170">
        <f>IF(B170="","",TEXT(B170,"yyyy-mm"))</f>
        <v/>
      </c>
    </row>
    <row r="171">
      <c r="C171">
        <f>IF(B171="","",TEXT(B171,"yyyy-mm"))</f>
        <v/>
      </c>
    </row>
    <row r="172">
      <c r="C172">
        <f>IF(B172="","",TEXT(B172,"yyyy-mm"))</f>
        <v/>
      </c>
    </row>
    <row r="173">
      <c r="C173">
        <f>IF(B173="","",TEXT(B173,"yyyy-mm"))</f>
        <v/>
      </c>
    </row>
    <row r="174">
      <c r="C174">
        <f>IF(B174="","",TEXT(B174,"yyyy-mm"))</f>
        <v/>
      </c>
    </row>
    <row r="175">
      <c r="C175">
        <f>IF(B175="","",TEXT(B175,"yyyy-mm"))</f>
        <v/>
      </c>
    </row>
    <row r="176">
      <c r="C176">
        <f>IF(B176="","",TEXT(B176,"yyyy-mm"))</f>
        <v/>
      </c>
    </row>
    <row r="177">
      <c r="C177">
        <f>IF(B177="","",TEXT(B177,"yyyy-mm"))</f>
        <v/>
      </c>
    </row>
    <row r="178">
      <c r="C178">
        <f>IF(B178="","",TEXT(B178,"yyyy-mm"))</f>
        <v/>
      </c>
    </row>
    <row r="179">
      <c r="C179">
        <f>IF(B179="","",TEXT(B179,"yyyy-mm"))</f>
        <v/>
      </c>
    </row>
    <row r="180">
      <c r="C180">
        <f>IF(B180="","",TEXT(B180,"yyyy-mm"))</f>
        <v/>
      </c>
    </row>
    <row r="181">
      <c r="C181">
        <f>IF(B181="","",TEXT(B181,"yyyy-mm"))</f>
        <v/>
      </c>
    </row>
    <row r="182">
      <c r="C182">
        <f>IF(B182="","",TEXT(B182,"yyyy-mm"))</f>
        <v/>
      </c>
    </row>
    <row r="183">
      <c r="C183">
        <f>IF(B183="","",TEXT(B183,"yyyy-mm"))</f>
        <v/>
      </c>
    </row>
    <row r="184">
      <c r="C184">
        <f>IF(B184="","",TEXT(B184,"yyyy-mm"))</f>
        <v/>
      </c>
    </row>
    <row r="185">
      <c r="C185">
        <f>IF(B185="","",TEXT(B185,"yyyy-mm"))</f>
        <v/>
      </c>
    </row>
    <row r="186">
      <c r="C186">
        <f>IF(B186="","",TEXT(B186,"yyyy-mm"))</f>
        <v/>
      </c>
    </row>
    <row r="187">
      <c r="C187">
        <f>IF(B187="","",TEXT(B187,"yyyy-mm"))</f>
        <v/>
      </c>
    </row>
    <row r="188">
      <c r="C188">
        <f>IF(B188="","",TEXT(B188,"yyyy-mm"))</f>
        <v/>
      </c>
    </row>
    <row r="189">
      <c r="C189">
        <f>IF(B189="","",TEXT(B189,"yyyy-mm"))</f>
        <v/>
      </c>
    </row>
    <row r="190">
      <c r="C190">
        <f>IF(B190="","",TEXT(B190,"yyyy-mm"))</f>
        <v/>
      </c>
    </row>
    <row r="191">
      <c r="C191">
        <f>IF(B191="","",TEXT(B191,"yyyy-mm"))</f>
        <v/>
      </c>
    </row>
    <row r="192">
      <c r="C192">
        <f>IF(B192="","",TEXT(B192,"yyyy-mm"))</f>
        <v/>
      </c>
    </row>
    <row r="193">
      <c r="C193">
        <f>IF(B193="","",TEXT(B193,"yyyy-mm"))</f>
        <v/>
      </c>
    </row>
    <row r="194">
      <c r="C194">
        <f>IF(B194="","",TEXT(B194,"yyyy-mm"))</f>
        <v/>
      </c>
    </row>
    <row r="195">
      <c r="C195">
        <f>IF(B195="","",TEXT(B195,"yyyy-mm"))</f>
        <v/>
      </c>
    </row>
    <row r="196">
      <c r="C196">
        <f>IF(B196="","",TEXT(B196,"yyyy-mm"))</f>
        <v/>
      </c>
    </row>
    <row r="197">
      <c r="C197">
        <f>IF(B197="","",TEXT(B197,"yyyy-mm"))</f>
        <v/>
      </c>
    </row>
    <row r="198">
      <c r="C198">
        <f>IF(B198="","",TEXT(B198,"yyyy-mm"))</f>
        <v/>
      </c>
    </row>
    <row r="199">
      <c r="C199">
        <f>IF(B199="","",TEXT(B199,"yyyy-mm"))</f>
        <v/>
      </c>
    </row>
    <row r="200">
      <c r="C200">
        <f>IF(B200="","",TEXT(B200,"yyyy-mm"))</f>
        <v/>
      </c>
    </row>
    <row r="201">
      <c r="C201">
        <f>IF(B201="","",TEXT(B201,"yyyy-mm"))</f>
        <v/>
      </c>
    </row>
    <row r="202">
      <c r="C202">
        <f>IF(B202="","",TEXT(B202,"yyyy-mm"))</f>
        <v/>
      </c>
    </row>
    <row r="203">
      <c r="C203">
        <f>IF(B203="","",TEXT(B203,"yyyy-mm"))</f>
        <v/>
      </c>
    </row>
    <row r="204">
      <c r="C204">
        <f>IF(B204="","",TEXT(B204,"yyyy-mm"))</f>
        <v/>
      </c>
    </row>
    <row r="205">
      <c r="C205">
        <f>IF(B205="","",TEXT(B205,"yyyy-mm"))</f>
        <v/>
      </c>
    </row>
    <row r="206">
      <c r="C206">
        <f>IF(B206="","",TEXT(B206,"yyyy-mm"))</f>
        <v/>
      </c>
    </row>
    <row r="207">
      <c r="C207">
        <f>IF(B207="","",TEXT(B207,"yyyy-mm"))</f>
        <v/>
      </c>
    </row>
    <row r="208">
      <c r="C208">
        <f>IF(B208="","",TEXT(B208,"yyyy-mm"))</f>
        <v/>
      </c>
    </row>
    <row r="209">
      <c r="C209">
        <f>IF(B209="","",TEXT(B209,"yyyy-mm"))</f>
        <v/>
      </c>
    </row>
    <row r="210">
      <c r="C210">
        <f>IF(B210="","",TEXT(B210,"yyyy-mm"))</f>
        <v/>
      </c>
    </row>
    <row r="211">
      <c r="C211">
        <f>IF(B211="","",TEXT(B211,"yyyy-mm"))</f>
        <v/>
      </c>
    </row>
    <row r="212">
      <c r="C212">
        <f>IF(B212="","",TEXT(B212,"yyyy-mm"))</f>
        <v/>
      </c>
    </row>
    <row r="213">
      <c r="C213">
        <f>IF(B213="","",TEXT(B213,"yyyy-mm"))</f>
        <v/>
      </c>
    </row>
    <row r="214">
      <c r="C214">
        <f>IF(B214="","",TEXT(B214,"yyyy-mm"))</f>
        <v/>
      </c>
    </row>
    <row r="215">
      <c r="C215">
        <f>IF(B215="","",TEXT(B215,"yyyy-mm"))</f>
        <v/>
      </c>
    </row>
    <row r="216">
      <c r="C216">
        <f>IF(B216="","",TEXT(B216,"yyyy-mm"))</f>
        <v/>
      </c>
    </row>
    <row r="217">
      <c r="C217">
        <f>IF(B217="","",TEXT(B217,"yyyy-mm"))</f>
        <v/>
      </c>
    </row>
    <row r="218">
      <c r="C218">
        <f>IF(B218="","",TEXT(B218,"yyyy-mm"))</f>
        <v/>
      </c>
    </row>
    <row r="219">
      <c r="C219">
        <f>IF(B219="","",TEXT(B219,"yyyy-mm"))</f>
        <v/>
      </c>
    </row>
    <row r="220">
      <c r="C220">
        <f>IF(B220="","",TEXT(B220,"yyyy-mm"))</f>
        <v/>
      </c>
    </row>
    <row r="221">
      <c r="C221">
        <f>IF(B221="","",TEXT(B221,"yyyy-mm"))</f>
        <v/>
      </c>
    </row>
    <row r="222">
      <c r="C222">
        <f>IF(B222="","",TEXT(B222,"yyyy-mm"))</f>
        <v/>
      </c>
    </row>
    <row r="223">
      <c r="C223">
        <f>IF(B223="","",TEXT(B223,"yyyy-mm"))</f>
        <v/>
      </c>
    </row>
    <row r="224">
      <c r="C224">
        <f>IF(B224="","",TEXT(B224,"yyyy-mm"))</f>
        <v/>
      </c>
    </row>
    <row r="225">
      <c r="C225">
        <f>IF(B225="","",TEXT(B225,"yyyy-mm"))</f>
        <v/>
      </c>
    </row>
    <row r="226">
      <c r="C226">
        <f>IF(B226="","",TEXT(B226,"yyyy-mm"))</f>
        <v/>
      </c>
    </row>
    <row r="227">
      <c r="C227">
        <f>IF(B227="","",TEXT(B227,"yyyy-mm"))</f>
        <v/>
      </c>
    </row>
    <row r="228">
      <c r="C228">
        <f>IF(B228="","",TEXT(B228,"yyyy-mm"))</f>
        <v/>
      </c>
    </row>
    <row r="229">
      <c r="C229">
        <f>IF(B229="","",TEXT(B229,"yyyy-mm"))</f>
        <v/>
      </c>
    </row>
    <row r="230">
      <c r="C230">
        <f>IF(B230="","",TEXT(B230,"yyyy-mm"))</f>
        <v/>
      </c>
    </row>
    <row r="231">
      <c r="C231">
        <f>IF(B231="","",TEXT(B231,"yyyy-mm"))</f>
        <v/>
      </c>
    </row>
    <row r="232">
      <c r="C232">
        <f>IF(B232="","",TEXT(B232,"yyyy-mm"))</f>
        <v/>
      </c>
    </row>
    <row r="233">
      <c r="C233">
        <f>IF(B233="","",TEXT(B233,"yyyy-mm"))</f>
        <v/>
      </c>
    </row>
    <row r="234">
      <c r="C234">
        <f>IF(B234="","",TEXT(B234,"yyyy-mm"))</f>
        <v/>
      </c>
    </row>
    <row r="235">
      <c r="C235">
        <f>IF(B235="","",TEXT(B235,"yyyy-mm"))</f>
        <v/>
      </c>
    </row>
    <row r="236">
      <c r="C236">
        <f>IF(B236="","",TEXT(B236,"yyyy-mm"))</f>
        <v/>
      </c>
    </row>
    <row r="237">
      <c r="C237">
        <f>IF(B237="","",TEXT(B237,"yyyy-mm"))</f>
        <v/>
      </c>
    </row>
    <row r="238">
      <c r="C238">
        <f>IF(B238="","",TEXT(B238,"yyyy-mm"))</f>
        <v/>
      </c>
    </row>
    <row r="239">
      <c r="C239">
        <f>IF(B239="","",TEXT(B239,"yyyy-mm"))</f>
        <v/>
      </c>
    </row>
    <row r="240">
      <c r="C240">
        <f>IF(B240="","",TEXT(B240,"yyyy-mm"))</f>
        <v/>
      </c>
    </row>
    <row r="241">
      <c r="C241">
        <f>IF(B241="","",TEXT(B241,"yyyy-mm"))</f>
        <v/>
      </c>
    </row>
    <row r="242">
      <c r="C242">
        <f>IF(B242="","",TEXT(B242,"yyyy-mm"))</f>
        <v/>
      </c>
    </row>
    <row r="243">
      <c r="C243">
        <f>IF(B243="","",TEXT(B243,"yyyy-mm"))</f>
        <v/>
      </c>
    </row>
    <row r="244">
      <c r="C244">
        <f>IF(B244="","",TEXT(B244,"yyyy-mm"))</f>
        <v/>
      </c>
    </row>
    <row r="245">
      <c r="C245">
        <f>IF(B245="","",TEXT(B245,"yyyy-mm"))</f>
        <v/>
      </c>
    </row>
    <row r="246">
      <c r="C246">
        <f>IF(B246="","",TEXT(B246,"yyyy-mm"))</f>
        <v/>
      </c>
    </row>
    <row r="247">
      <c r="C247">
        <f>IF(B247="","",TEXT(B247,"yyyy-mm"))</f>
        <v/>
      </c>
    </row>
    <row r="248">
      <c r="C248">
        <f>IF(B248="","",TEXT(B248,"yyyy-mm"))</f>
        <v/>
      </c>
    </row>
    <row r="249">
      <c r="C249">
        <f>IF(B249="","",TEXT(B249,"yyyy-mm"))</f>
        <v/>
      </c>
    </row>
    <row r="250">
      <c r="C250">
        <f>IF(B250="","",TEXT(B250,"yyyy-mm"))</f>
        <v/>
      </c>
    </row>
    <row r="251">
      <c r="C251">
        <f>IF(B251="","",TEXT(B251,"yyyy-mm"))</f>
        <v/>
      </c>
    </row>
    <row r="252">
      <c r="C252">
        <f>IF(B252="","",TEXT(B252,"yyyy-mm"))</f>
        <v/>
      </c>
    </row>
    <row r="253">
      <c r="C253">
        <f>IF(B253="","",TEXT(B253,"yyyy-mm"))</f>
        <v/>
      </c>
    </row>
    <row r="254">
      <c r="C254">
        <f>IF(B254="","",TEXT(B254,"yyyy-mm"))</f>
        <v/>
      </c>
    </row>
    <row r="255">
      <c r="C255">
        <f>IF(B255="","",TEXT(B255,"yyyy-mm"))</f>
        <v/>
      </c>
    </row>
    <row r="256">
      <c r="C256">
        <f>IF(B256="","",TEXT(B256,"yyyy-mm"))</f>
        <v/>
      </c>
    </row>
    <row r="257">
      <c r="C257">
        <f>IF(B257="","",TEXT(B257,"yyyy-mm"))</f>
        <v/>
      </c>
    </row>
    <row r="258">
      <c r="C258">
        <f>IF(B258="","",TEXT(B258,"yyyy-mm"))</f>
        <v/>
      </c>
    </row>
    <row r="259">
      <c r="C259">
        <f>IF(B259="","",TEXT(B259,"yyyy-mm"))</f>
        <v/>
      </c>
    </row>
    <row r="260">
      <c r="C260">
        <f>IF(B260="","",TEXT(B260,"yyyy-mm"))</f>
        <v/>
      </c>
    </row>
    <row r="261">
      <c r="C261">
        <f>IF(B261="","",TEXT(B261,"yyyy-mm"))</f>
        <v/>
      </c>
    </row>
    <row r="262">
      <c r="C262">
        <f>IF(B262="","",TEXT(B262,"yyyy-mm"))</f>
        <v/>
      </c>
    </row>
    <row r="263">
      <c r="C263">
        <f>IF(B263="","",TEXT(B263,"yyyy-mm"))</f>
        <v/>
      </c>
    </row>
    <row r="264">
      <c r="C264">
        <f>IF(B264="","",TEXT(B264,"yyyy-mm"))</f>
        <v/>
      </c>
    </row>
    <row r="265">
      <c r="C265">
        <f>IF(B265="","",TEXT(B265,"yyyy-mm"))</f>
        <v/>
      </c>
    </row>
    <row r="266">
      <c r="C266">
        <f>IF(B266="","",TEXT(B266,"yyyy-mm"))</f>
        <v/>
      </c>
    </row>
    <row r="267">
      <c r="C267">
        <f>IF(B267="","",TEXT(B267,"yyyy-mm"))</f>
        <v/>
      </c>
    </row>
    <row r="268">
      <c r="C268">
        <f>IF(B268="","",TEXT(B268,"yyyy-mm"))</f>
        <v/>
      </c>
    </row>
    <row r="269">
      <c r="C269">
        <f>IF(B269="","",TEXT(B269,"yyyy-mm"))</f>
        <v/>
      </c>
    </row>
    <row r="270">
      <c r="C270">
        <f>IF(B270="","",TEXT(B270,"yyyy-mm"))</f>
        <v/>
      </c>
    </row>
    <row r="271">
      <c r="C271">
        <f>IF(B271="","",TEXT(B271,"yyyy-mm"))</f>
        <v/>
      </c>
    </row>
    <row r="272">
      <c r="C272">
        <f>IF(B272="","",TEXT(B272,"yyyy-mm"))</f>
        <v/>
      </c>
    </row>
    <row r="273">
      <c r="C273">
        <f>IF(B273="","",TEXT(B273,"yyyy-mm"))</f>
        <v/>
      </c>
    </row>
    <row r="274">
      <c r="C274">
        <f>IF(B274="","",TEXT(B274,"yyyy-mm"))</f>
        <v/>
      </c>
    </row>
    <row r="275">
      <c r="C275">
        <f>IF(B275="","",TEXT(B275,"yyyy-mm"))</f>
        <v/>
      </c>
    </row>
    <row r="276">
      <c r="C276">
        <f>IF(B276="","",TEXT(B276,"yyyy-mm"))</f>
        <v/>
      </c>
    </row>
    <row r="277">
      <c r="C277">
        <f>IF(B277="","",TEXT(B277,"yyyy-mm"))</f>
        <v/>
      </c>
    </row>
    <row r="278">
      <c r="C278">
        <f>IF(B278="","",TEXT(B278,"yyyy-mm"))</f>
        <v/>
      </c>
    </row>
    <row r="279">
      <c r="C279">
        <f>IF(B279="","",TEXT(B279,"yyyy-mm"))</f>
        <v/>
      </c>
    </row>
    <row r="280">
      <c r="C280">
        <f>IF(B280="","",TEXT(B280,"yyyy-mm"))</f>
        <v/>
      </c>
    </row>
    <row r="281">
      <c r="C281">
        <f>IF(B281="","",TEXT(B281,"yyyy-mm"))</f>
        <v/>
      </c>
    </row>
    <row r="282">
      <c r="C282">
        <f>IF(B282="","",TEXT(B282,"yyyy-mm"))</f>
        <v/>
      </c>
    </row>
    <row r="283">
      <c r="C283">
        <f>IF(B283="","",TEXT(B283,"yyyy-mm"))</f>
        <v/>
      </c>
    </row>
    <row r="284">
      <c r="C284">
        <f>IF(B284="","",TEXT(B284,"yyyy-mm"))</f>
        <v/>
      </c>
    </row>
    <row r="285">
      <c r="C285">
        <f>IF(B285="","",TEXT(B285,"yyyy-mm"))</f>
        <v/>
      </c>
    </row>
    <row r="286">
      <c r="C286">
        <f>IF(B286="","",TEXT(B286,"yyyy-mm"))</f>
        <v/>
      </c>
    </row>
    <row r="287">
      <c r="C287">
        <f>IF(B287="","",TEXT(B287,"yyyy-mm"))</f>
        <v/>
      </c>
    </row>
    <row r="288">
      <c r="C288">
        <f>IF(B288="","",TEXT(B288,"yyyy-mm"))</f>
        <v/>
      </c>
    </row>
    <row r="289">
      <c r="C289">
        <f>IF(B289="","",TEXT(B289,"yyyy-mm"))</f>
        <v/>
      </c>
    </row>
    <row r="290">
      <c r="C290">
        <f>IF(B290="","",TEXT(B290,"yyyy-mm"))</f>
        <v/>
      </c>
    </row>
    <row r="291">
      <c r="C291">
        <f>IF(B291="","",TEXT(B291,"yyyy-mm"))</f>
        <v/>
      </c>
    </row>
    <row r="292">
      <c r="C292">
        <f>IF(B292="","",TEXT(B292,"yyyy-mm"))</f>
        <v/>
      </c>
    </row>
    <row r="293">
      <c r="C293">
        <f>IF(B293="","",TEXT(B293,"yyyy-mm"))</f>
        <v/>
      </c>
    </row>
    <row r="294">
      <c r="C294">
        <f>IF(B294="","",TEXT(B294,"yyyy-mm"))</f>
        <v/>
      </c>
    </row>
    <row r="295">
      <c r="C295">
        <f>IF(B295="","",TEXT(B295,"yyyy-mm"))</f>
        <v/>
      </c>
    </row>
    <row r="296">
      <c r="C296">
        <f>IF(B296="","",TEXT(B296,"yyyy-mm"))</f>
        <v/>
      </c>
    </row>
    <row r="297">
      <c r="C297">
        <f>IF(B297="","",TEXT(B297,"yyyy-mm"))</f>
        <v/>
      </c>
    </row>
    <row r="298">
      <c r="C298">
        <f>IF(B298="","",TEXT(B298,"yyyy-mm"))</f>
        <v/>
      </c>
    </row>
    <row r="299">
      <c r="C299">
        <f>IF(B299="","",TEXT(B299,"yyyy-mm"))</f>
        <v/>
      </c>
    </row>
    <row r="300">
      <c r="C300">
        <f>IF(B300="","",TEXT(B300,"yyyy-mm"))</f>
        <v/>
      </c>
    </row>
    <row r="301">
      <c r="C301">
        <f>IF(B301="","",TEXT(B301,"yyyy-mm"))</f>
        <v/>
      </c>
    </row>
    <row r="302">
      <c r="C302">
        <f>IF(B302="","",TEXT(B302,"yyyy-mm"))</f>
        <v/>
      </c>
    </row>
    <row r="303">
      <c r="C303">
        <f>IF(B303="","",TEXT(B303,"yyyy-mm"))</f>
        <v/>
      </c>
    </row>
    <row r="304">
      <c r="C304">
        <f>IF(B304="","",TEXT(B304,"yyyy-mm"))</f>
        <v/>
      </c>
    </row>
    <row r="305">
      <c r="C305">
        <f>IF(B305="","",TEXT(B305,"yyyy-mm"))</f>
        <v/>
      </c>
    </row>
    <row r="306">
      <c r="C306">
        <f>IF(B306="","",TEXT(B306,"yyyy-mm"))</f>
        <v/>
      </c>
    </row>
    <row r="307">
      <c r="C307">
        <f>IF(B307="","",TEXT(B307,"yyyy-mm"))</f>
        <v/>
      </c>
    </row>
    <row r="308">
      <c r="C308">
        <f>IF(B308="","",TEXT(B308,"yyyy-mm"))</f>
        <v/>
      </c>
    </row>
    <row r="309">
      <c r="C309">
        <f>IF(B309="","",TEXT(B309,"yyyy-mm"))</f>
        <v/>
      </c>
    </row>
    <row r="310">
      <c r="C310">
        <f>IF(B310="","",TEXT(B310,"yyyy-mm"))</f>
        <v/>
      </c>
    </row>
    <row r="311">
      <c r="C311">
        <f>IF(B311="","",TEXT(B311,"yyyy-mm"))</f>
        <v/>
      </c>
    </row>
    <row r="312">
      <c r="C312">
        <f>IF(B312="","",TEXT(B312,"yyyy-mm"))</f>
        <v/>
      </c>
    </row>
    <row r="313">
      <c r="C313">
        <f>IF(B313="","",TEXT(B313,"yyyy-mm"))</f>
        <v/>
      </c>
    </row>
    <row r="314">
      <c r="C314">
        <f>IF(B314="","",TEXT(B314,"yyyy-mm"))</f>
        <v/>
      </c>
    </row>
    <row r="315">
      <c r="C315">
        <f>IF(B315="","",TEXT(B315,"yyyy-mm"))</f>
        <v/>
      </c>
    </row>
    <row r="316">
      <c r="C316">
        <f>IF(B316="","",TEXT(B316,"yyyy-mm"))</f>
        <v/>
      </c>
    </row>
    <row r="317">
      <c r="C317">
        <f>IF(B317="","",TEXT(B317,"yyyy-mm"))</f>
        <v/>
      </c>
    </row>
    <row r="318">
      <c r="C318">
        <f>IF(B318="","",TEXT(B318,"yyyy-mm"))</f>
        <v/>
      </c>
    </row>
    <row r="319">
      <c r="C319">
        <f>IF(B319="","",TEXT(B319,"yyyy-mm"))</f>
        <v/>
      </c>
    </row>
    <row r="320">
      <c r="C320">
        <f>IF(B320="","",TEXT(B320,"yyyy-mm"))</f>
        <v/>
      </c>
    </row>
    <row r="321">
      <c r="C321">
        <f>IF(B321="","",TEXT(B321,"yyyy-mm"))</f>
        <v/>
      </c>
    </row>
    <row r="322">
      <c r="C322">
        <f>IF(B322="","",TEXT(B322,"yyyy-mm"))</f>
        <v/>
      </c>
    </row>
    <row r="323">
      <c r="C323">
        <f>IF(B323="","",TEXT(B323,"yyyy-mm"))</f>
        <v/>
      </c>
    </row>
    <row r="324">
      <c r="C324">
        <f>IF(B324="","",TEXT(B324,"yyyy-mm"))</f>
        <v/>
      </c>
    </row>
    <row r="325">
      <c r="C325">
        <f>IF(B325="","",TEXT(B325,"yyyy-mm"))</f>
        <v/>
      </c>
    </row>
    <row r="326">
      <c r="C326">
        <f>IF(B326="","",TEXT(B326,"yyyy-mm"))</f>
        <v/>
      </c>
    </row>
    <row r="327">
      <c r="C327">
        <f>IF(B327="","",TEXT(B327,"yyyy-mm"))</f>
        <v/>
      </c>
    </row>
    <row r="328">
      <c r="C328">
        <f>IF(B328="","",TEXT(B328,"yyyy-mm"))</f>
        <v/>
      </c>
    </row>
    <row r="329">
      <c r="C329">
        <f>IF(B329="","",TEXT(B329,"yyyy-mm"))</f>
        <v/>
      </c>
    </row>
    <row r="330">
      <c r="C330">
        <f>IF(B330="","",TEXT(B330,"yyyy-mm"))</f>
        <v/>
      </c>
    </row>
    <row r="331">
      <c r="C331">
        <f>IF(B331="","",TEXT(B331,"yyyy-mm"))</f>
        <v/>
      </c>
    </row>
    <row r="332">
      <c r="C332">
        <f>IF(B332="","",TEXT(B332,"yyyy-mm"))</f>
        <v/>
      </c>
    </row>
    <row r="333">
      <c r="C333">
        <f>IF(B333="","",TEXT(B333,"yyyy-mm"))</f>
        <v/>
      </c>
    </row>
    <row r="334">
      <c r="C334">
        <f>IF(B334="","",TEXT(B334,"yyyy-mm"))</f>
        <v/>
      </c>
    </row>
    <row r="335">
      <c r="C335">
        <f>IF(B335="","",TEXT(B335,"yyyy-mm"))</f>
        <v/>
      </c>
    </row>
    <row r="336">
      <c r="C336">
        <f>IF(B336="","",TEXT(B336,"yyyy-mm"))</f>
        <v/>
      </c>
    </row>
    <row r="337">
      <c r="C337">
        <f>IF(B337="","",TEXT(B337,"yyyy-mm"))</f>
        <v/>
      </c>
    </row>
    <row r="338">
      <c r="C338">
        <f>IF(B338="","",TEXT(B338,"yyyy-mm"))</f>
        <v/>
      </c>
    </row>
    <row r="339">
      <c r="C339">
        <f>IF(B339="","",TEXT(B339,"yyyy-mm"))</f>
        <v/>
      </c>
    </row>
    <row r="340">
      <c r="C340">
        <f>IF(B340="","",TEXT(B340,"yyyy-mm"))</f>
        <v/>
      </c>
    </row>
    <row r="341">
      <c r="C341">
        <f>IF(B341="","",TEXT(B341,"yyyy-mm"))</f>
        <v/>
      </c>
    </row>
    <row r="342">
      <c r="C342">
        <f>IF(B342="","",TEXT(B342,"yyyy-mm"))</f>
        <v/>
      </c>
    </row>
    <row r="343">
      <c r="C343">
        <f>IF(B343="","",TEXT(B343,"yyyy-mm"))</f>
        <v/>
      </c>
    </row>
    <row r="344">
      <c r="C344">
        <f>IF(B344="","",TEXT(B344,"yyyy-mm"))</f>
        <v/>
      </c>
    </row>
    <row r="345">
      <c r="C345">
        <f>IF(B345="","",TEXT(B345,"yyyy-mm"))</f>
        <v/>
      </c>
    </row>
    <row r="346">
      <c r="C346">
        <f>IF(B346="","",TEXT(B346,"yyyy-mm"))</f>
        <v/>
      </c>
    </row>
    <row r="347">
      <c r="C347">
        <f>IF(B347="","",TEXT(B347,"yyyy-mm"))</f>
        <v/>
      </c>
    </row>
    <row r="348">
      <c r="C348">
        <f>IF(B348="","",TEXT(B348,"yyyy-mm"))</f>
        <v/>
      </c>
    </row>
    <row r="349">
      <c r="C349">
        <f>IF(B349="","",TEXT(B349,"yyyy-mm"))</f>
        <v/>
      </c>
    </row>
    <row r="350">
      <c r="C350">
        <f>IF(B350="","",TEXT(B350,"yyyy-mm"))</f>
        <v/>
      </c>
    </row>
    <row r="351">
      <c r="C351">
        <f>IF(B351="","",TEXT(B351,"yyyy-mm"))</f>
        <v/>
      </c>
    </row>
    <row r="352">
      <c r="C352">
        <f>IF(B352="","",TEXT(B352,"yyyy-mm"))</f>
        <v/>
      </c>
    </row>
    <row r="353">
      <c r="C353">
        <f>IF(B353="","",TEXT(B353,"yyyy-mm"))</f>
        <v/>
      </c>
    </row>
    <row r="354">
      <c r="C354">
        <f>IF(B354="","",TEXT(B354,"yyyy-mm"))</f>
        <v/>
      </c>
    </row>
    <row r="355">
      <c r="C355">
        <f>IF(B355="","",TEXT(B355,"yyyy-mm"))</f>
        <v/>
      </c>
    </row>
    <row r="356">
      <c r="C356">
        <f>IF(B356="","",TEXT(B356,"yyyy-mm"))</f>
        <v/>
      </c>
    </row>
    <row r="357">
      <c r="C357">
        <f>IF(B357="","",TEXT(B357,"yyyy-mm"))</f>
        <v/>
      </c>
    </row>
    <row r="358">
      <c r="C358">
        <f>IF(B358="","",TEXT(B358,"yyyy-mm"))</f>
        <v/>
      </c>
    </row>
    <row r="359">
      <c r="C359">
        <f>IF(B359="","",TEXT(B359,"yyyy-mm"))</f>
        <v/>
      </c>
    </row>
    <row r="360">
      <c r="C360">
        <f>IF(B360="","",TEXT(B360,"yyyy-mm"))</f>
        <v/>
      </c>
    </row>
    <row r="361">
      <c r="C361">
        <f>IF(B361="","",TEXT(B361,"yyyy-mm"))</f>
        <v/>
      </c>
    </row>
    <row r="362">
      <c r="C362">
        <f>IF(B362="","",TEXT(B362,"yyyy-mm"))</f>
        <v/>
      </c>
    </row>
    <row r="363">
      <c r="C363">
        <f>IF(B363="","",TEXT(B363,"yyyy-mm"))</f>
        <v/>
      </c>
    </row>
    <row r="364">
      <c r="C364">
        <f>IF(B364="","",TEXT(B364,"yyyy-mm"))</f>
        <v/>
      </c>
    </row>
    <row r="365">
      <c r="C365">
        <f>IF(B365="","",TEXT(B365,"yyyy-mm"))</f>
        <v/>
      </c>
    </row>
    <row r="366">
      <c r="C366">
        <f>IF(B366="","",TEXT(B366,"yyyy-mm"))</f>
        <v/>
      </c>
    </row>
    <row r="367">
      <c r="C367">
        <f>IF(B367="","",TEXT(B367,"yyyy-mm"))</f>
        <v/>
      </c>
    </row>
    <row r="368">
      <c r="C368">
        <f>IF(B368="","",TEXT(B368,"yyyy-mm"))</f>
        <v/>
      </c>
    </row>
    <row r="369">
      <c r="C369">
        <f>IF(B369="","",TEXT(B369,"yyyy-mm"))</f>
        <v/>
      </c>
    </row>
    <row r="370">
      <c r="C370">
        <f>IF(B370="","",TEXT(B370,"yyyy-mm"))</f>
        <v/>
      </c>
    </row>
    <row r="371">
      <c r="C371">
        <f>IF(B371="","",TEXT(B371,"yyyy-mm"))</f>
        <v/>
      </c>
    </row>
    <row r="372">
      <c r="C372">
        <f>IF(B372="","",TEXT(B372,"yyyy-mm"))</f>
        <v/>
      </c>
    </row>
    <row r="373">
      <c r="C373">
        <f>IF(B373="","",TEXT(B373,"yyyy-mm"))</f>
        <v/>
      </c>
    </row>
    <row r="374">
      <c r="C374">
        <f>IF(B374="","",TEXT(B374,"yyyy-mm"))</f>
        <v/>
      </c>
    </row>
    <row r="375">
      <c r="C375">
        <f>IF(B375="","",TEXT(B375,"yyyy-mm"))</f>
        <v/>
      </c>
    </row>
    <row r="376">
      <c r="C376">
        <f>IF(B376="","",TEXT(B376,"yyyy-mm"))</f>
        <v/>
      </c>
    </row>
    <row r="377">
      <c r="C377">
        <f>IF(B377="","",TEXT(B377,"yyyy-mm"))</f>
        <v/>
      </c>
    </row>
    <row r="378">
      <c r="C378">
        <f>IF(B378="","",TEXT(B378,"yyyy-mm"))</f>
        <v/>
      </c>
    </row>
    <row r="379">
      <c r="C379">
        <f>IF(B379="","",TEXT(B379,"yyyy-mm"))</f>
        <v/>
      </c>
    </row>
    <row r="380">
      <c r="C380">
        <f>IF(B380="","",TEXT(B380,"yyyy-mm"))</f>
        <v/>
      </c>
    </row>
    <row r="381">
      <c r="C381">
        <f>IF(B381="","",TEXT(B381,"yyyy-mm"))</f>
        <v/>
      </c>
    </row>
    <row r="382">
      <c r="C382">
        <f>IF(B382="","",TEXT(B382,"yyyy-mm"))</f>
        <v/>
      </c>
    </row>
    <row r="383">
      <c r="C383">
        <f>IF(B383="","",TEXT(B383,"yyyy-mm"))</f>
        <v/>
      </c>
    </row>
    <row r="384">
      <c r="C384">
        <f>IF(B384="","",TEXT(B384,"yyyy-mm"))</f>
        <v/>
      </c>
    </row>
    <row r="385">
      <c r="C385">
        <f>IF(B385="","",TEXT(B385,"yyyy-mm"))</f>
        <v/>
      </c>
    </row>
    <row r="386">
      <c r="C386">
        <f>IF(B386="","",TEXT(B386,"yyyy-mm"))</f>
        <v/>
      </c>
    </row>
    <row r="387">
      <c r="C387">
        <f>IF(B387="","",TEXT(B387,"yyyy-mm"))</f>
        <v/>
      </c>
    </row>
    <row r="388">
      <c r="C388">
        <f>IF(B388="","",TEXT(B388,"yyyy-mm"))</f>
        <v/>
      </c>
    </row>
    <row r="389">
      <c r="C389">
        <f>IF(B389="","",TEXT(B389,"yyyy-mm"))</f>
        <v/>
      </c>
    </row>
    <row r="390">
      <c r="C390">
        <f>IF(B390="","",TEXT(B390,"yyyy-mm"))</f>
        <v/>
      </c>
    </row>
    <row r="391">
      <c r="C391">
        <f>IF(B391="","",TEXT(B391,"yyyy-mm"))</f>
        <v/>
      </c>
    </row>
    <row r="392">
      <c r="C392">
        <f>IF(B392="","",TEXT(B392,"yyyy-mm"))</f>
        <v/>
      </c>
    </row>
    <row r="393">
      <c r="C393">
        <f>IF(B393="","",TEXT(B393,"yyyy-mm"))</f>
        <v/>
      </c>
    </row>
    <row r="394">
      <c r="C394">
        <f>IF(B394="","",TEXT(B394,"yyyy-mm"))</f>
        <v/>
      </c>
    </row>
    <row r="395">
      <c r="C395">
        <f>IF(B395="","",TEXT(B395,"yyyy-mm"))</f>
        <v/>
      </c>
    </row>
    <row r="396">
      <c r="C396">
        <f>IF(B396="","",TEXT(B396,"yyyy-mm"))</f>
        <v/>
      </c>
    </row>
    <row r="397">
      <c r="C397">
        <f>IF(B397="","",TEXT(B397,"yyyy-mm"))</f>
        <v/>
      </c>
    </row>
    <row r="398">
      <c r="C398">
        <f>IF(B398="","",TEXT(B398,"yyyy-mm"))</f>
        <v/>
      </c>
    </row>
    <row r="399">
      <c r="C399">
        <f>IF(B399="","",TEXT(B399,"yyyy-mm"))</f>
        <v/>
      </c>
    </row>
    <row r="400">
      <c r="C400">
        <f>IF(B400="","",TEXT(B400,"yyyy-mm"))</f>
        <v/>
      </c>
    </row>
    <row r="401">
      <c r="C401">
        <f>IF(B401="","",TEXT(B401,"yyyy-mm"))</f>
        <v/>
      </c>
    </row>
    <row r="402">
      <c r="C402">
        <f>IF(B402="","",TEXT(B402,"yyyy-mm"))</f>
        <v/>
      </c>
    </row>
    <row r="403">
      <c r="C403">
        <f>IF(B403="","",TEXT(B403,"yyyy-mm"))</f>
        <v/>
      </c>
    </row>
    <row r="404">
      <c r="C404">
        <f>IF(B404="","",TEXT(B404,"yyyy-mm"))</f>
        <v/>
      </c>
    </row>
    <row r="405">
      <c r="C405">
        <f>IF(B405="","",TEXT(B405,"yyyy-mm"))</f>
        <v/>
      </c>
    </row>
    <row r="406">
      <c r="C406">
        <f>IF(B406="","",TEXT(B406,"yyyy-mm"))</f>
        <v/>
      </c>
    </row>
    <row r="407">
      <c r="C407">
        <f>IF(B407="","",TEXT(B407,"yyyy-mm"))</f>
        <v/>
      </c>
    </row>
    <row r="408">
      <c r="C408">
        <f>IF(B408="","",TEXT(B408,"yyyy-mm"))</f>
        <v/>
      </c>
    </row>
    <row r="409">
      <c r="C409">
        <f>IF(B409="","",TEXT(B409,"yyyy-mm"))</f>
        <v/>
      </c>
    </row>
    <row r="410">
      <c r="C410">
        <f>IF(B410="","",TEXT(B410,"yyyy-mm"))</f>
        <v/>
      </c>
    </row>
    <row r="411">
      <c r="C411">
        <f>IF(B411="","",TEXT(B411,"yyyy-mm"))</f>
        <v/>
      </c>
    </row>
    <row r="412">
      <c r="C412">
        <f>IF(B412="","",TEXT(B412,"yyyy-mm"))</f>
        <v/>
      </c>
    </row>
    <row r="413">
      <c r="C413">
        <f>IF(B413="","",TEXT(B413,"yyyy-mm"))</f>
        <v/>
      </c>
    </row>
    <row r="414">
      <c r="C414">
        <f>IF(B414="","",TEXT(B414,"yyyy-mm"))</f>
        <v/>
      </c>
    </row>
    <row r="415">
      <c r="C415">
        <f>IF(B415="","",TEXT(B415,"yyyy-mm"))</f>
        <v/>
      </c>
    </row>
    <row r="416">
      <c r="C416">
        <f>IF(B416="","",TEXT(B416,"yyyy-mm"))</f>
        <v/>
      </c>
    </row>
    <row r="417">
      <c r="C417">
        <f>IF(B417="","",TEXT(B417,"yyyy-mm"))</f>
        <v/>
      </c>
    </row>
    <row r="418">
      <c r="C418">
        <f>IF(B418="","",TEXT(B418,"yyyy-mm"))</f>
        <v/>
      </c>
    </row>
    <row r="419">
      <c r="C419">
        <f>IF(B419="","",TEXT(B419,"yyyy-mm"))</f>
        <v/>
      </c>
    </row>
    <row r="420">
      <c r="C420">
        <f>IF(B420="","",TEXT(B420,"yyyy-mm"))</f>
        <v/>
      </c>
    </row>
    <row r="421">
      <c r="C421">
        <f>IF(B421="","",TEXT(B421,"yyyy-mm"))</f>
        <v/>
      </c>
    </row>
    <row r="422">
      <c r="C422">
        <f>IF(B422="","",TEXT(B422,"yyyy-mm"))</f>
        <v/>
      </c>
    </row>
    <row r="423">
      <c r="C423">
        <f>IF(B423="","",TEXT(B423,"yyyy-mm"))</f>
        <v/>
      </c>
    </row>
    <row r="424">
      <c r="C424">
        <f>IF(B424="","",TEXT(B424,"yyyy-mm"))</f>
        <v/>
      </c>
    </row>
    <row r="425">
      <c r="C425">
        <f>IF(B425="","",TEXT(B425,"yyyy-mm"))</f>
        <v/>
      </c>
    </row>
    <row r="426">
      <c r="C426">
        <f>IF(B426="","",TEXT(B426,"yyyy-mm"))</f>
        <v/>
      </c>
    </row>
    <row r="427">
      <c r="C427">
        <f>IF(B427="","",TEXT(B427,"yyyy-mm"))</f>
        <v/>
      </c>
    </row>
    <row r="428">
      <c r="C428">
        <f>IF(B428="","",TEXT(B428,"yyyy-mm"))</f>
        <v/>
      </c>
    </row>
    <row r="429">
      <c r="C429">
        <f>IF(B429="","",TEXT(B429,"yyyy-mm"))</f>
        <v/>
      </c>
    </row>
    <row r="430">
      <c r="C430">
        <f>IF(B430="","",TEXT(B430,"yyyy-mm"))</f>
        <v/>
      </c>
    </row>
    <row r="431">
      <c r="C431">
        <f>IF(B431="","",TEXT(B431,"yyyy-mm"))</f>
        <v/>
      </c>
    </row>
    <row r="432">
      <c r="C432">
        <f>IF(B432="","",TEXT(B432,"yyyy-mm"))</f>
        <v/>
      </c>
    </row>
    <row r="433">
      <c r="C433">
        <f>IF(B433="","",TEXT(B433,"yyyy-mm"))</f>
        <v/>
      </c>
    </row>
    <row r="434">
      <c r="C434">
        <f>IF(B434="","",TEXT(B434,"yyyy-mm"))</f>
        <v/>
      </c>
    </row>
    <row r="435">
      <c r="C435">
        <f>IF(B435="","",TEXT(B435,"yyyy-mm"))</f>
        <v/>
      </c>
    </row>
    <row r="436">
      <c r="C436">
        <f>IF(B436="","",TEXT(B436,"yyyy-mm"))</f>
        <v/>
      </c>
    </row>
    <row r="437">
      <c r="C437">
        <f>IF(B437="","",TEXT(B437,"yyyy-mm"))</f>
        <v/>
      </c>
    </row>
    <row r="438">
      <c r="C438">
        <f>IF(B438="","",TEXT(B438,"yyyy-mm"))</f>
        <v/>
      </c>
    </row>
    <row r="439">
      <c r="C439">
        <f>IF(B439="","",TEXT(B439,"yyyy-mm"))</f>
        <v/>
      </c>
    </row>
    <row r="440">
      <c r="C440">
        <f>IF(B440="","",TEXT(B440,"yyyy-mm"))</f>
        <v/>
      </c>
    </row>
    <row r="441">
      <c r="C441">
        <f>IF(B441="","",TEXT(B441,"yyyy-mm"))</f>
        <v/>
      </c>
    </row>
    <row r="442">
      <c r="C442">
        <f>IF(B442="","",TEXT(B442,"yyyy-mm"))</f>
        <v/>
      </c>
    </row>
    <row r="443">
      <c r="C443">
        <f>IF(B443="","",TEXT(B443,"yyyy-mm"))</f>
        <v/>
      </c>
    </row>
    <row r="444">
      <c r="C444">
        <f>IF(B444="","",TEXT(B444,"yyyy-mm"))</f>
        <v/>
      </c>
    </row>
    <row r="445">
      <c r="C445">
        <f>IF(B445="","",TEXT(B445,"yyyy-mm"))</f>
        <v/>
      </c>
    </row>
    <row r="446">
      <c r="C446">
        <f>IF(B446="","",TEXT(B446,"yyyy-mm"))</f>
        <v/>
      </c>
    </row>
    <row r="447">
      <c r="C447">
        <f>IF(B447="","",TEXT(B447,"yyyy-mm"))</f>
        <v/>
      </c>
    </row>
    <row r="448">
      <c r="C448">
        <f>IF(B448="","",TEXT(B448,"yyyy-mm"))</f>
        <v/>
      </c>
    </row>
    <row r="449">
      <c r="C449">
        <f>IF(B449="","",TEXT(B449,"yyyy-mm"))</f>
        <v/>
      </c>
    </row>
    <row r="450">
      <c r="C450">
        <f>IF(B450="","",TEXT(B450,"yyyy-mm"))</f>
        <v/>
      </c>
    </row>
    <row r="451">
      <c r="C451">
        <f>IF(B451="","",TEXT(B451,"yyyy-mm"))</f>
        <v/>
      </c>
    </row>
    <row r="452">
      <c r="C452">
        <f>IF(B452="","",TEXT(B452,"yyyy-mm"))</f>
        <v/>
      </c>
    </row>
    <row r="453">
      <c r="C453">
        <f>IF(B453="","",TEXT(B453,"yyyy-mm"))</f>
        <v/>
      </c>
    </row>
    <row r="454">
      <c r="C454">
        <f>IF(B454="","",TEXT(B454,"yyyy-mm"))</f>
        <v/>
      </c>
    </row>
    <row r="455">
      <c r="C455">
        <f>IF(B455="","",TEXT(B455,"yyyy-mm"))</f>
        <v/>
      </c>
    </row>
    <row r="456">
      <c r="C456">
        <f>IF(B456="","",TEXT(B456,"yyyy-mm"))</f>
        <v/>
      </c>
    </row>
    <row r="457">
      <c r="C457">
        <f>IF(B457="","",TEXT(B457,"yyyy-mm"))</f>
        <v/>
      </c>
    </row>
    <row r="458">
      <c r="C458">
        <f>IF(B458="","",TEXT(B458,"yyyy-mm"))</f>
        <v/>
      </c>
    </row>
    <row r="459">
      <c r="C459">
        <f>IF(B459="","",TEXT(B459,"yyyy-mm"))</f>
        <v/>
      </c>
    </row>
    <row r="460">
      <c r="C460">
        <f>IF(B460="","",TEXT(B460,"yyyy-mm"))</f>
        <v/>
      </c>
    </row>
    <row r="461">
      <c r="C461">
        <f>IF(B461="","",TEXT(B461,"yyyy-mm"))</f>
        <v/>
      </c>
    </row>
    <row r="462">
      <c r="C462">
        <f>IF(B462="","",TEXT(B462,"yyyy-mm"))</f>
        <v/>
      </c>
    </row>
    <row r="463">
      <c r="C463">
        <f>IF(B463="","",TEXT(B463,"yyyy-mm"))</f>
        <v/>
      </c>
    </row>
    <row r="464">
      <c r="C464">
        <f>IF(B464="","",TEXT(B464,"yyyy-mm"))</f>
        <v/>
      </c>
    </row>
    <row r="465">
      <c r="C465">
        <f>IF(B465="","",TEXT(B465,"yyyy-mm"))</f>
        <v/>
      </c>
    </row>
    <row r="466">
      <c r="C466">
        <f>IF(B466="","",TEXT(B466,"yyyy-mm"))</f>
        <v/>
      </c>
    </row>
    <row r="467">
      <c r="C467">
        <f>IF(B467="","",TEXT(B467,"yyyy-mm"))</f>
        <v/>
      </c>
    </row>
    <row r="468">
      <c r="C468">
        <f>IF(B468="","",TEXT(B468,"yyyy-mm"))</f>
        <v/>
      </c>
    </row>
    <row r="469">
      <c r="C469">
        <f>IF(B469="","",TEXT(B469,"yyyy-mm"))</f>
        <v/>
      </c>
    </row>
    <row r="470">
      <c r="C470">
        <f>IF(B470="","",TEXT(B470,"yyyy-mm"))</f>
        <v/>
      </c>
    </row>
    <row r="471">
      <c r="C471">
        <f>IF(B471="","",TEXT(B471,"yyyy-mm"))</f>
        <v/>
      </c>
    </row>
    <row r="472">
      <c r="C472">
        <f>IF(B472="","",TEXT(B472,"yyyy-mm"))</f>
        <v/>
      </c>
    </row>
    <row r="473">
      <c r="C473">
        <f>IF(B473="","",TEXT(B473,"yyyy-mm"))</f>
        <v/>
      </c>
    </row>
    <row r="474">
      <c r="C474">
        <f>IF(B474="","",TEXT(B474,"yyyy-mm"))</f>
        <v/>
      </c>
    </row>
    <row r="475">
      <c r="C475">
        <f>IF(B475="","",TEXT(B475,"yyyy-mm"))</f>
        <v/>
      </c>
    </row>
    <row r="476">
      <c r="C476">
        <f>IF(B476="","",TEXT(B476,"yyyy-mm"))</f>
        <v/>
      </c>
    </row>
    <row r="477">
      <c r="C477">
        <f>IF(B477="","",TEXT(B477,"yyyy-mm"))</f>
        <v/>
      </c>
    </row>
    <row r="478">
      <c r="C478">
        <f>IF(B478="","",TEXT(B478,"yyyy-mm"))</f>
        <v/>
      </c>
    </row>
    <row r="479">
      <c r="C479">
        <f>IF(B479="","",TEXT(B479,"yyyy-mm"))</f>
        <v/>
      </c>
    </row>
    <row r="480">
      <c r="C480">
        <f>IF(B480="","",TEXT(B480,"yyyy-mm"))</f>
        <v/>
      </c>
    </row>
    <row r="481">
      <c r="C481">
        <f>IF(B481="","",TEXT(B481,"yyyy-mm"))</f>
        <v/>
      </c>
    </row>
    <row r="482">
      <c r="C482">
        <f>IF(B482="","",TEXT(B482,"yyyy-mm"))</f>
        <v/>
      </c>
    </row>
    <row r="483">
      <c r="C483">
        <f>IF(B483="","",TEXT(B483,"yyyy-mm"))</f>
        <v/>
      </c>
    </row>
    <row r="484">
      <c r="C484">
        <f>IF(B484="","",TEXT(B484,"yyyy-mm"))</f>
        <v/>
      </c>
    </row>
    <row r="485">
      <c r="C485">
        <f>IF(B485="","",TEXT(B485,"yyyy-mm"))</f>
        <v/>
      </c>
    </row>
    <row r="486">
      <c r="C486">
        <f>IF(B486="","",TEXT(B486,"yyyy-mm"))</f>
        <v/>
      </c>
    </row>
    <row r="487">
      <c r="C487">
        <f>IF(B487="","",TEXT(B487,"yyyy-mm"))</f>
        <v/>
      </c>
    </row>
    <row r="488">
      <c r="C488">
        <f>IF(B488="","",TEXT(B488,"yyyy-mm"))</f>
        <v/>
      </c>
    </row>
    <row r="489">
      <c r="C489">
        <f>IF(B489="","",TEXT(B489,"yyyy-mm"))</f>
        <v/>
      </c>
    </row>
    <row r="490">
      <c r="C490">
        <f>IF(B490="","",TEXT(B490,"yyyy-mm"))</f>
        <v/>
      </c>
    </row>
    <row r="491">
      <c r="C491">
        <f>IF(B491="","",TEXT(B491,"yyyy-mm"))</f>
        <v/>
      </c>
    </row>
    <row r="492">
      <c r="C492">
        <f>IF(B492="","",TEXT(B492,"yyyy-mm"))</f>
        <v/>
      </c>
    </row>
    <row r="493">
      <c r="C493">
        <f>IF(B493="","",TEXT(B493,"yyyy-mm"))</f>
        <v/>
      </c>
    </row>
    <row r="494">
      <c r="C494">
        <f>IF(B494="","",TEXT(B494,"yyyy-mm"))</f>
        <v/>
      </c>
    </row>
    <row r="495">
      <c r="C495">
        <f>IF(B495="","",TEXT(B495,"yyyy-mm"))</f>
        <v/>
      </c>
    </row>
    <row r="496">
      <c r="C496">
        <f>IF(B496="","",TEXT(B496,"yyyy-mm"))</f>
        <v/>
      </c>
    </row>
    <row r="497">
      <c r="C497">
        <f>IF(B497="","",TEXT(B497,"yyyy-mm"))</f>
        <v/>
      </c>
    </row>
    <row r="498">
      <c r="C498">
        <f>IF(B498="","",TEXT(B498,"yyyy-mm"))</f>
        <v/>
      </c>
    </row>
    <row r="499">
      <c r="C499">
        <f>IF(B499="","",TEXT(B499,"yyyy-mm"))</f>
        <v/>
      </c>
    </row>
    <row r="500">
      <c r="C500">
        <f>IF(B500="","",TEXT(B500,"yyyy-mm"))</f>
        <v/>
      </c>
    </row>
    <row r="501">
      <c r="C501">
        <f>IF(B501="","",TEXT(B501,"yyyy-mm"))</f>
        <v/>
      </c>
    </row>
    <row r="502">
      <c r="C502">
        <f>IF(B502="","",TEXT(B502,"yyyy-mm"))</f>
        <v/>
      </c>
    </row>
    <row r="503">
      <c r="C503">
        <f>IF(B503="","",TEXT(B503,"yyyy-mm"))</f>
        <v/>
      </c>
    </row>
    <row r="504">
      <c r="C504">
        <f>IF(B504="","",TEXT(B504,"yyyy-mm"))</f>
        <v/>
      </c>
    </row>
    <row r="505">
      <c r="C505">
        <f>IF(B505="","",TEXT(B505,"yyyy-mm"))</f>
        <v/>
      </c>
    </row>
    <row r="506">
      <c r="C506">
        <f>IF(B506="","",TEXT(B506,"yyyy-mm"))</f>
        <v/>
      </c>
    </row>
    <row r="507">
      <c r="C507">
        <f>IF(B507="","",TEXT(B507,"yyyy-mm"))</f>
        <v/>
      </c>
    </row>
    <row r="508">
      <c r="C508">
        <f>IF(B508="","",TEXT(B508,"yyyy-mm"))</f>
        <v/>
      </c>
    </row>
    <row r="509">
      <c r="C509">
        <f>IF(B509="","",TEXT(B509,"yyyy-mm"))</f>
        <v/>
      </c>
    </row>
    <row r="510">
      <c r="C510">
        <f>IF(B510="","",TEXT(B510,"yyyy-mm"))</f>
        <v/>
      </c>
    </row>
    <row r="511">
      <c r="C511">
        <f>IF(B511="","",TEXT(B511,"yyyy-mm"))</f>
        <v/>
      </c>
    </row>
    <row r="512">
      <c r="C512">
        <f>IF(B512="","",TEXT(B512,"yyyy-mm"))</f>
        <v/>
      </c>
    </row>
    <row r="513">
      <c r="C513">
        <f>IF(B513="","",TEXT(B513,"yyyy-mm"))</f>
        <v/>
      </c>
    </row>
    <row r="514">
      <c r="C514">
        <f>IF(B514="","",TEXT(B514,"yyyy-mm"))</f>
        <v/>
      </c>
    </row>
    <row r="515">
      <c r="C515">
        <f>IF(B515="","",TEXT(B515,"yyyy-mm"))</f>
        <v/>
      </c>
    </row>
    <row r="516">
      <c r="C516">
        <f>IF(B516="","",TEXT(B516,"yyyy-mm"))</f>
        <v/>
      </c>
    </row>
    <row r="517">
      <c r="C517">
        <f>IF(B517="","",TEXT(B517,"yyyy-mm"))</f>
        <v/>
      </c>
    </row>
    <row r="518">
      <c r="C518">
        <f>IF(B518="","",TEXT(B518,"yyyy-mm"))</f>
        <v/>
      </c>
    </row>
    <row r="519">
      <c r="C519">
        <f>IF(B519="","",TEXT(B519,"yyyy-mm"))</f>
        <v/>
      </c>
    </row>
    <row r="520">
      <c r="C520">
        <f>IF(B520="","",TEXT(B520,"yyyy-mm"))</f>
        <v/>
      </c>
    </row>
    <row r="521">
      <c r="C521">
        <f>IF(B521="","",TEXT(B521,"yyyy-mm"))</f>
        <v/>
      </c>
    </row>
    <row r="522">
      <c r="C522">
        <f>IF(B522="","",TEXT(B522,"yyyy-mm"))</f>
        <v/>
      </c>
    </row>
    <row r="523">
      <c r="C523">
        <f>IF(B523="","",TEXT(B523,"yyyy-mm"))</f>
        <v/>
      </c>
    </row>
    <row r="524">
      <c r="C524">
        <f>IF(B524="","",TEXT(B524,"yyyy-mm"))</f>
        <v/>
      </c>
    </row>
    <row r="525">
      <c r="C525">
        <f>IF(B525="","",TEXT(B525,"yyyy-mm"))</f>
        <v/>
      </c>
    </row>
    <row r="526">
      <c r="C526">
        <f>IF(B526="","",TEXT(B526,"yyyy-mm"))</f>
        <v/>
      </c>
    </row>
    <row r="527">
      <c r="C527">
        <f>IF(B527="","",TEXT(B527,"yyyy-mm"))</f>
        <v/>
      </c>
    </row>
    <row r="528">
      <c r="C528">
        <f>IF(B528="","",TEXT(B528,"yyyy-mm"))</f>
        <v/>
      </c>
    </row>
    <row r="529">
      <c r="C529">
        <f>IF(B529="","",TEXT(B529,"yyyy-mm"))</f>
        <v/>
      </c>
    </row>
    <row r="530">
      <c r="C530">
        <f>IF(B530="","",TEXT(B530,"yyyy-mm"))</f>
        <v/>
      </c>
    </row>
    <row r="531">
      <c r="C531">
        <f>IF(B531="","",TEXT(B531,"yyyy-mm"))</f>
        <v/>
      </c>
    </row>
    <row r="532">
      <c r="C532">
        <f>IF(B532="","",TEXT(B532,"yyyy-mm"))</f>
        <v/>
      </c>
    </row>
    <row r="533">
      <c r="C533">
        <f>IF(B533="","",TEXT(B533,"yyyy-mm"))</f>
        <v/>
      </c>
    </row>
    <row r="534">
      <c r="C534">
        <f>IF(B534="","",TEXT(B534,"yyyy-mm"))</f>
        <v/>
      </c>
    </row>
    <row r="535">
      <c r="C535">
        <f>IF(B535="","",TEXT(B535,"yyyy-mm"))</f>
        <v/>
      </c>
    </row>
    <row r="536">
      <c r="C536">
        <f>IF(B536="","",TEXT(B536,"yyyy-mm"))</f>
        <v/>
      </c>
    </row>
    <row r="537">
      <c r="C537">
        <f>IF(B537="","",TEXT(B537,"yyyy-mm"))</f>
        <v/>
      </c>
    </row>
    <row r="538">
      <c r="C538">
        <f>IF(B538="","",TEXT(B538,"yyyy-mm"))</f>
        <v/>
      </c>
    </row>
    <row r="539">
      <c r="C539">
        <f>IF(B539="","",TEXT(B539,"yyyy-mm"))</f>
        <v/>
      </c>
    </row>
    <row r="540">
      <c r="C540">
        <f>IF(B540="","",TEXT(B540,"yyyy-mm"))</f>
        <v/>
      </c>
    </row>
    <row r="541">
      <c r="C541">
        <f>IF(B541="","",TEXT(B541,"yyyy-mm"))</f>
        <v/>
      </c>
    </row>
    <row r="542">
      <c r="C542">
        <f>IF(B542="","",TEXT(B542,"yyyy-mm"))</f>
        <v/>
      </c>
    </row>
    <row r="543">
      <c r="C543">
        <f>IF(B543="","",TEXT(B543,"yyyy-mm"))</f>
        <v/>
      </c>
    </row>
    <row r="544">
      <c r="C544">
        <f>IF(B544="","",TEXT(B544,"yyyy-mm"))</f>
        <v/>
      </c>
    </row>
    <row r="545">
      <c r="C545">
        <f>IF(B545="","",TEXT(B545,"yyyy-mm"))</f>
        <v/>
      </c>
    </row>
    <row r="546">
      <c r="C546">
        <f>IF(B546="","",TEXT(B546,"yyyy-mm"))</f>
        <v/>
      </c>
    </row>
    <row r="547">
      <c r="C547">
        <f>IF(B547="","",TEXT(B547,"yyyy-mm"))</f>
        <v/>
      </c>
    </row>
    <row r="548">
      <c r="C548">
        <f>IF(B548="","",TEXT(B548,"yyyy-mm"))</f>
        <v/>
      </c>
    </row>
    <row r="549">
      <c r="C549">
        <f>IF(B549="","",TEXT(B549,"yyyy-mm"))</f>
        <v/>
      </c>
    </row>
    <row r="550">
      <c r="C550">
        <f>IF(B550="","",TEXT(B550,"yyyy-mm"))</f>
        <v/>
      </c>
    </row>
    <row r="551">
      <c r="C551">
        <f>IF(B551="","",TEXT(B551,"yyyy-mm"))</f>
        <v/>
      </c>
    </row>
    <row r="552">
      <c r="C552">
        <f>IF(B552="","",TEXT(B552,"yyyy-mm"))</f>
        <v/>
      </c>
    </row>
    <row r="553">
      <c r="C553">
        <f>IF(B553="","",TEXT(B553,"yyyy-mm"))</f>
        <v/>
      </c>
    </row>
    <row r="554">
      <c r="C554">
        <f>IF(B554="","",TEXT(B554,"yyyy-mm"))</f>
        <v/>
      </c>
    </row>
    <row r="555">
      <c r="C555">
        <f>IF(B555="","",TEXT(B555,"yyyy-mm"))</f>
        <v/>
      </c>
    </row>
    <row r="556">
      <c r="C556">
        <f>IF(B556="","",TEXT(B556,"yyyy-mm"))</f>
        <v/>
      </c>
    </row>
    <row r="557">
      <c r="C557">
        <f>IF(B557="","",TEXT(B557,"yyyy-mm"))</f>
        <v/>
      </c>
    </row>
    <row r="558">
      <c r="C558">
        <f>IF(B558="","",TEXT(B558,"yyyy-mm"))</f>
        <v/>
      </c>
    </row>
    <row r="559">
      <c r="C559">
        <f>IF(B559="","",TEXT(B559,"yyyy-mm"))</f>
        <v/>
      </c>
    </row>
    <row r="560">
      <c r="C560">
        <f>IF(B560="","",TEXT(B560,"yyyy-mm"))</f>
        <v/>
      </c>
    </row>
    <row r="561">
      <c r="C561">
        <f>IF(B561="","",TEXT(B561,"yyyy-mm"))</f>
        <v/>
      </c>
    </row>
    <row r="562">
      <c r="C562">
        <f>IF(B562="","",TEXT(B562,"yyyy-mm"))</f>
        <v/>
      </c>
    </row>
    <row r="563">
      <c r="C563">
        <f>IF(B563="","",TEXT(B563,"yyyy-mm"))</f>
        <v/>
      </c>
    </row>
    <row r="564">
      <c r="C564">
        <f>IF(B564="","",TEXT(B564,"yyyy-mm"))</f>
        <v/>
      </c>
    </row>
    <row r="565">
      <c r="C565">
        <f>IF(B565="","",TEXT(B565,"yyyy-mm"))</f>
        <v/>
      </c>
    </row>
    <row r="566">
      <c r="C566">
        <f>IF(B566="","",TEXT(B566,"yyyy-mm"))</f>
        <v/>
      </c>
    </row>
    <row r="567">
      <c r="C567">
        <f>IF(B567="","",TEXT(B567,"yyyy-mm"))</f>
        <v/>
      </c>
    </row>
    <row r="568">
      <c r="C568">
        <f>IF(B568="","",TEXT(B568,"yyyy-mm"))</f>
        <v/>
      </c>
    </row>
    <row r="569">
      <c r="C569">
        <f>IF(B569="","",TEXT(B569,"yyyy-mm"))</f>
        <v/>
      </c>
    </row>
    <row r="570">
      <c r="C570">
        <f>IF(B570="","",TEXT(B570,"yyyy-mm"))</f>
        <v/>
      </c>
    </row>
    <row r="571">
      <c r="C571">
        <f>IF(B571="","",TEXT(B571,"yyyy-mm"))</f>
        <v/>
      </c>
    </row>
    <row r="572">
      <c r="C572">
        <f>IF(B572="","",TEXT(B572,"yyyy-mm"))</f>
        <v/>
      </c>
    </row>
    <row r="573">
      <c r="C573">
        <f>IF(B573="","",TEXT(B573,"yyyy-mm"))</f>
        <v/>
      </c>
    </row>
    <row r="574">
      <c r="C574">
        <f>IF(B574="","",TEXT(B574,"yyyy-mm"))</f>
        <v/>
      </c>
    </row>
    <row r="575">
      <c r="C575">
        <f>IF(B575="","",TEXT(B575,"yyyy-mm"))</f>
        <v/>
      </c>
    </row>
    <row r="576">
      <c r="C576">
        <f>IF(B576="","",TEXT(B576,"yyyy-mm"))</f>
        <v/>
      </c>
    </row>
    <row r="577">
      <c r="C577">
        <f>IF(B577="","",TEXT(B577,"yyyy-mm"))</f>
        <v/>
      </c>
    </row>
    <row r="578">
      <c r="C578">
        <f>IF(B578="","",TEXT(B578,"yyyy-mm"))</f>
        <v/>
      </c>
    </row>
    <row r="579">
      <c r="C579">
        <f>IF(B579="","",TEXT(B579,"yyyy-mm"))</f>
        <v/>
      </c>
    </row>
    <row r="580">
      <c r="C580">
        <f>IF(B580="","",TEXT(B580,"yyyy-mm"))</f>
        <v/>
      </c>
    </row>
    <row r="581">
      <c r="C581">
        <f>IF(B581="","",TEXT(B581,"yyyy-mm"))</f>
        <v/>
      </c>
    </row>
    <row r="582">
      <c r="C582">
        <f>IF(B582="","",TEXT(B582,"yyyy-mm"))</f>
        <v/>
      </c>
    </row>
    <row r="583">
      <c r="C583">
        <f>IF(B583="","",TEXT(B583,"yyyy-mm"))</f>
        <v/>
      </c>
    </row>
    <row r="584">
      <c r="C584">
        <f>IF(B584="","",TEXT(B584,"yyyy-mm"))</f>
        <v/>
      </c>
    </row>
    <row r="585">
      <c r="C585">
        <f>IF(B585="","",TEXT(B585,"yyyy-mm"))</f>
        <v/>
      </c>
    </row>
    <row r="586">
      <c r="C586">
        <f>IF(B586="","",TEXT(B586,"yyyy-mm"))</f>
        <v/>
      </c>
    </row>
    <row r="587">
      <c r="C587">
        <f>IF(B587="","",TEXT(B587,"yyyy-mm"))</f>
        <v/>
      </c>
    </row>
    <row r="588">
      <c r="C588">
        <f>IF(B588="","",TEXT(B588,"yyyy-mm"))</f>
        <v/>
      </c>
    </row>
    <row r="589">
      <c r="C589">
        <f>IF(B589="","",TEXT(B589,"yyyy-mm"))</f>
        <v/>
      </c>
    </row>
    <row r="590">
      <c r="C590">
        <f>IF(B590="","",TEXT(B590,"yyyy-mm"))</f>
        <v/>
      </c>
    </row>
    <row r="591">
      <c r="C591">
        <f>IF(B591="","",TEXT(B591,"yyyy-mm"))</f>
        <v/>
      </c>
    </row>
    <row r="592">
      <c r="C592">
        <f>IF(B592="","",TEXT(B592,"yyyy-mm"))</f>
        <v/>
      </c>
    </row>
    <row r="593">
      <c r="C593">
        <f>IF(B593="","",TEXT(B593,"yyyy-mm"))</f>
        <v/>
      </c>
    </row>
    <row r="594">
      <c r="C594">
        <f>IF(B594="","",TEXT(B594,"yyyy-mm"))</f>
        <v/>
      </c>
    </row>
    <row r="595">
      <c r="C595">
        <f>IF(B595="","",TEXT(B595,"yyyy-mm"))</f>
        <v/>
      </c>
    </row>
    <row r="596">
      <c r="C596">
        <f>IF(B596="","",TEXT(B596,"yyyy-mm"))</f>
        <v/>
      </c>
    </row>
    <row r="597">
      <c r="C597">
        <f>IF(B597="","",TEXT(B597,"yyyy-mm"))</f>
        <v/>
      </c>
    </row>
    <row r="598">
      <c r="C598">
        <f>IF(B598="","",TEXT(B598,"yyyy-mm"))</f>
        <v/>
      </c>
    </row>
    <row r="599">
      <c r="C599">
        <f>IF(B599="","",TEXT(B599,"yyyy-mm"))</f>
        <v/>
      </c>
    </row>
    <row r="600">
      <c r="C600">
        <f>IF(B600="","",TEXT(B600,"yyyy-mm"))</f>
        <v/>
      </c>
    </row>
    <row r="601">
      <c r="C601">
        <f>IF(B601="","",TEXT(B601,"yyyy-mm"))</f>
        <v/>
      </c>
    </row>
    <row r="602">
      <c r="C602">
        <f>IF(B602="","",TEXT(B602,"yyyy-mm"))</f>
        <v/>
      </c>
    </row>
    <row r="603">
      <c r="C603">
        <f>IF(B603="","",TEXT(B603,"yyyy-mm"))</f>
        <v/>
      </c>
    </row>
    <row r="604">
      <c r="C604">
        <f>IF(B604="","",TEXT(B604,"yyyy-mm"))</f>
        <v/>
      </c>
    </row>
    <row r="605">
      <c r="C605">
        <f>IF(B605="","",TEXT(B605,"yyyy-mm"))</f>
        <v/>
      </c>
    </row>
    <row r="606">
      <c r="C606">
        <f>IF(B606="","",TEXT(B606,"yyyy-mm"))</f>
        <v/>
      </c>
    </row>
    <row r="607">
      <c r="C607">
        <f>IF(B607="","",TEXT(B607,"yyyy-mm"))</f>
        <v/>
      </c>
    </row>
    <row r="608">
      <c r="C608">
        <f>IF(B608="","",TEXT(B608,"yyyy-mm"))</f>
        <v/>
      </c>
    </row>
    <row r="609">
      <c r="C609">
        <f>IF(B609="","",TEXT(B609,"yyyy-mm"))</f>
        <v/>
      </c>
    </row>
    <row r="610">
      <c r="C610">
        <f>IF(B610="","",TEXT(B610,"yyyy-mm"))</f>
        <v/>
      </c>
    </row>
    <row r="611">
      <c r="C611">
        <f>IF(B611="","",TEXT(B611,"yyyy-mm"))</f>
        <v/>
      </c>
    </row>
    <row r="612">
      <c r="C612">
        <f>IF(B612="","",TEXT(B612,"yyyy-mm"))</f>
        <v/>
      </c>
    </row>
    <row r="613">
      <c r="C613">
        <f>IF(B613="","",TEXT(B613,"yyyy-mm"))</f>
        <v/>
      </c>
    </row>
    <row r="614">
      <c r="C614">
        <f>IF(B614="","",TEXT(B614,"yyyy-mm"))</f>
        <v/>
      </c>
    </row>
    <row r="615">
      <c r="C615">
        <f>IF(B615="","",TEXT(B615,"yyyy-mm"))</f>
        <v/>
      </c>
    </row>
    <row r="616">
      <c r="C616">
        <f>IF(B616="","",TEXT(B616,"yyyy-mm"))</f>
        <v/>
      </c>
    </row>
    <row r="617">
      <c r="C617">
        <f>IF(B617="","",TEXT(B617,"yyyy-mm"))</f>
        <v/>
      </c>
    </row>
    <row r="618">
      <c r="C618">
        <f>IF(B618="","",TEXT(B618,"yyyy-mm"))</f>
        <v/>
      </c>
    </row>
    <row r="619">
      <c r="C619">
        <f>IF(B619="","",TEXT(B619,"yyyy-mm"))</f>
        <v/>
      </c>
    </row>
    <row r="620">
      <c r="C620">
        <f>IF(B620="","",TEXT(B620,"yyyy-mm"))</f>
        <v/>
      </c>
    </row>
    <row r="621">
      <c r="C621">
        <f>IF(B621="","",TEXT(B621,"yyyy-mm"))</f>
        <v/>
      </c>
    </row>
    <row r="622">
      <c r="C622">
        <f>IF(B622="","",TEXT(B622,"yyyy-mm"))</f>
        <v/>
      </c>
    </row>
    <row r="623">
      <c r="C623">
        <f>IF(B623="","",TEXT(B623,"yyyy-mm"))</f>
        <v/>
      </c>
    </row>
    <row r="624">
      <c r="C624">
        <f>IF(B624="","",TEXT(B624,"yyyy-mm"))</f>
        <v/>
      </c>
    </row>
    <row r="625">
      <c r="C625">
        <f>IF(B625="","",TEXT(B625,"yyyy-mm"))</f>
        <v/>
      </c>
    </row>
    <row r="626">
      <c r="C626">
        <f>IF(B626="","",TEXT(B626,"yyyy-mm"))</f>
        <v/>
      </c>
    </row>
    <row r="627">
      <c r="C627">
        <f>IF(B627="","",TEXT(B627,"yyyy-mm"))</f>
        <v/>
      </c>
    </row>
    <row r="628">
      <c r="C628">
        <f>IF(B628="","",TEXT(B628,"yyyy-mm"))</f>
        <v/>
      </c>
    </row>
    <row r="629">
      <c r="C629">
        <f>IF(B629="","",TEXT(B629,"yyyy-mm"))</f>
        <v/>
      </c>
    </row>
    <row r="630">
      <c r="C630">
        <f>IF(B630="","",TEXT(B630,"yyyy-mm"))</f>
        <v/>
      </c>
    </row>
    <row r="631">
      <c r="C631">
        <f>IF(B631="","",TEXT(B631,"yyyy-mm"))</f>
        <v/>
      </c>
    </row>
    <row r="632">
      <c r="C632">
        <f>IF(B632="","",TEXT(B632,"yyyy-mm"))</f>
        <v/>
      </c>
    </row>
    <row r="633">
      <c r="C633">
        <f>IF(B633="","",TEXT(B633,"yyyy-mm"))</f>
        <v/>
      </c>
    </row>
    <row r="634">
      <c r="C634">
        <f>IF(B634="","",TEXT(B634,"yyyy-mm"))</f>
        <v/>
      </c>
    </row>
    <row r="635">
      <c r="C635">
        <f>IF(B635="","",TEXT(B635,"yyyy-mm"))</f>
        <v/>
      </c>
    </row>
    <row r="636">
      <c r="C636">
        <f>IF(B636="","",TEXT(B636,"yyyy-mm"))</f>
        <v/>
      </c>
    </row>
    <row r="637">
      <c r="C637">
        <f>IF(B637="","",TEXT(B637,"yyyy-mm"))</f>
        <v/>
      </c>
    </row>
    <row r="638">
      <c r="C638">
        <f>IF(B638="","",TEXT(B638,"yyyy-mm"))</f>
        <v/>
      </c>
    </row>
    <row r="639">
      <c r="C639">
        <f>IF(B639="","",TEXT(B639,"yyyy-mm"))</f>
        <v/>
      </c>
    </row>
    <row r="640">
      <c r="C640">
        <f>IF(B640="","",TEXT(B640,"yyyy-mm"))</f>
        <v/>
      </c>
    </row>
    <row r="641">
      <c r="C641">
        <f>IF(B641="","",TEXT(B641,"yyyy-mm"))</f>
        <v/>
      </c>
    </row>
    <row r="642">
      <c r="C642">
        <f>IF(B642="","",TEXT(B642,"yyyy-mm"))</f>
        <v/>
      </c>
    </row>
    <row r="643">
      <c r="C643">
        <f>IF(B643="","",TEXT(B643,"yyyy-mm"))</f>
        <v/>
      </c>
    </row>
    <row r="644">
      <c r="C644">
        <f>IF(B644="","",TEXT(B644,"yyyy-mm"))</f>
        <v/>
      </c>
    </row>
    <row r="645">
      <c r="C645">
        <f>IF(B645="","",TEXT(B645,"yyyy-mm"))</f>
        <v/>
      </c>
    </row>
    <row r="646">
      <c r="C646">
        <f>IF(B646="","",TEXT(B646,"yyyy-mm"))</f>
        <v/>
      </c>
    </row>
    <row r="647">
      <c r="C647">
        <f>IF(B647="","",TEXT(B647,"yyyy-mm"))</f>
        <v/>
      </c>
    </row>
    <row r="648">
      <c r="C648">
        <f>IF(B648="","",TEXT(B648,"yyyy-mm"))</f>
        <v/>
      </c>
    </row>
    <row r="649">
      <c r="C649">
        <f>IF(B649="","",TEXT(B649,"yyyy-mm"))</f>
        <v/>
      </c>
    </row>
    <row r="650">
      <c r="C650">
        <f>IF(B650="","",TEXT(B650,"yyyy-mm"))</f>
        <v/>
      </c>
    </row>
    <row r="651">
      <c r="C651">
        <f>IF(B651="","",TEXT(B651,"yyyy-mm"))</f>
        <v/>
      </c>
    </row>
    <row r="652">
      <c r="C652">
        <f>IF(B652="","",TEXT(B652,"yyyy-mm"))</f>
        <v/>
      </c>
    </row>
    <row r="653">
      <c r="C653">
        <f>IF(B653="","",TEXT(B653,"yyyy-mm"))</f>
        <v/>
      </c>
    </row>
    <row r="654">
      <c r="C654">
        <f>IF(B654="","",TEXT(B654,"yyyy-mm"))</f>
        <v/>
      </c>
    </row>
    <row r="655">
      <c r="C655">
        <f>IF(B655="","",TEXT(B655,"yyyy-mm"))</f>
        <v/>
      </c>
    </row>
    <row r="656">
      <c r="C656">
        <f>IF(B656="","",TEXT(B656,"yyyy-mm"))</f>
        <v/>
      </c>
    </row>
    <row r="657">
      <c r="C657">
        <f>IF(B657="","",TEXT(B657,"yyyy-mm"))</f>
        <v/>
      </c>
    </row>
    <row r="658">
      <c r="C658">
        <f>IF(B658="","",TEXT(B658,"yyyy-mm"))</f>
        <v/>
      </c>
    </row>
    <row r="659">
      <c r="C659">
        <f>IF(B659="","",TEXT(B659,"yyyy-mm"))</f>
        <v/>
      </c>
    </row>
    <row r="660">
      <c r="C660">
        <f>IF(B660="","",TEXT(B660,"yyyy-mm"))</f>
        <v/>
      </c>
    </row>
    <row r="661">
      <c r="C661">
        <f>IF(B661="","",TEXT(B661,"yyyy-mm"))</f>
        <v/>
      </c>
    </row>
    <row r="662">
      <c r="C662">
        <f>IF(B662="","",TEXT(B662,"yyyy-mm"))</f>
        <v/>
      </c>
    </row>
    <row r="663">
      <c r="C663">
        <f>IF(B663="","",TEXT(B663,"yyyy-mm"))</f>
        <v/>
      </c>
    </row>
    <row r="664">
      <c r="C664">
        <f>IF(B664="","",TEXT(B664,"yyyy-mm"))</f>
        <v/>
      </c>
    </row>
    <row r="665">
      <c r="C665">
        <f>IF(B665="","",TEXT(B665,"yyyy-mm"))</f>
        <v/>
      </c>
    </row>
    <row r="666">
      <c r="C666">
        <f>IF(B666="","",TEXT(B666,"yyyy-mm"))</f>
        <v/>
      </c>
    </row>
    <row r="667">
      <c r="C667">
        <f>IF(B667="","",TEXT(B667,"yyyy-mm"))</f>
        <v/>
      </c>
    </row>
    <row r="668">
      <c r="C668">
        <f>IF(B668="","",TEXT(B668,"yyyy-mm"))</f>
        <v/>
      </c>
    </row>
    <row r="669">
      <c r="C669">
        <f>IF(B669="","",TEXT(B669,"yyyy-mm"))</f>
        <v/>
      </c>
    </row>
    <row r="670">
      <c r="C670">
        <f>IF(B670="","",TEXT(B670,"yyyy-mm"))</f>
        <v/>
      </c>
    </row>
    <row r="671">
      <c r="C671">
        <f>IF(B671="","",TEXT(B671,"yyyy-mm"))</f>
        <v/>
      </c>
    </row>
    <row r="672">
      <c r="C672">
        <f>IF(B672="","",TEXT(B672,"yyyy-mm"))</f>
        <v/>
      </c>
    </row>
    <row r="673">
      <c r="C673">
        <f>IF(B673="","",TEXT(B673,"yyyy-mm"))</f>
        <v/>
      </c>
    </row>
    <row r="674">
      <c r="C674">
        <f>IF(B674="","",TEXT(B674,"yyyy-mm"))</f>
        <v/>
      </c>
    </row>
    <row r="675">
      <c r="C675">
        <f>IF(B675="","",TEXT(B675,"yyyy-mm"))</f>
        <v/>
      </c>
    </row>
    <row r="676">
      <c r="C676">
        <f>IF(B676="","",TEXT(B676,"yyyy-mm"))</f>
        <v/>
      </c>
    </row>
    <row r="677">
      <c r="C677">
        <f>IF(B677="","",TEXT(B677,"yyyy-mm"))</f>
        <v/>
      </c>
    </row>
    <row r="678">
      <c r="C678">
        <f>IF(B678="","",TEXT(B678,"yyyy-mm"))</f>
        <v/>
      </c>
    </row>
    <row r="679">
      <c r="C679">
        <f>IF(B679="","",TEXT(B679,"yyyy-mm"))</f>
        <v/>
      </c>
    </row>
    <row r="680">
      <c r="C680">
        <f>IF(B680="","",TEXT(B680,"yyyy-mm"))</f>
        <v/>
      </c>
    </row>
    <row r="681">
      <c r="C681">
        <f>IF(B681="","",TEXT(B681,"yyyy-mm"))</f>
        <v/>
      </c>
    </row>
    <row r="682">
      <c r="C682">
        <f>IF(B682="","",TEXT(B682,"yyyy-mm"))</f>
        <v/>
      </c>
    </row>
    <row r="683">
      <c r="C683">
        <f>IF(B683="","",TEXT(B683,"yyyy-mm"))</f>
        <v/>
      </c>
    </row>
    <row r="684">
      <c r="C684">
        <f>IF(B684="","",TEXT(B684,"yyyy-mm"))</f>
        <v/>
      </c>
    </row>
    <row r="685">
      <c r="C685">
        <f>IF(B685="","",TEXT(B685,"yyyy-mm"))</f>
        <v/>
      </c>
    </row>
    <row r="686">
      <c r="C686">
        <f>IF(B686="","",TEXT(B686,"yyyy-mm"))</f>
        <v/>
      </c>
    </row>
    <row r="687">
      <c r="C687">
        <f>IF(B687="","",TEXT(B687,"yyyy-mm"))</f>
        <v/>
      </c>
    </row>
    <row r="688">
      <c r="C688">
        <f>IF(B688="","",TEXT(B688,"yyyy-mm"))</f>
        <v/>
      </c>
    </row>
    <row r="689">
      <c r="C689">
        <f>IF(B689="","",TEXT(B689,"yyyy-mm"))</f>
        <v/>
      </c>
    </row>
    <row r="690">
      <c r="C690">
        <f>IF(B690="","",TEXT(B690,"yyyy-mm"))</f>
        <v/>
      </c>
    </row>
    <row r="691">
      <c r="C691">
        <f>IF(B691="","",TEXT(B691,"yyyy-mm"))</f>
        <v/>
      </c>
    </row>
    <row r="692">
      <c r="C692">
        <f>IF(B692="","",TEXT(B692,"yyyy-mm"))</f>
        <v/>
      </c>
    </row>
    <row r="693">
      <c r="C693">
        <f>IF(B693="","",TEXT(B693,"yyyy-mm"))</f>
        <v/>
      </c>
    </row>
    <row r="694">
      <c r="C694">
        <f>IF(B694="","",TEXT(B694,"yyyy-mm"))</f>
        <v/>
      </c>
    </row>
    <row r="695">
      <c r="C695">
        <f>IF(B695="","",TEXT(B695,"yyyy-mm"))</f>
        <v/>
      </c>
    </row>
    <row r="696">
      <c r="C696">
        <f>IF(B696="","",TEXT(B696,"yyyy-mm"))</f>
        <v/>
      </c>
    </row>
    <row r="697">
      <c r="C697">
        <f>IF(B697="","",TEXT(B697,"yyyy-mm"))</f>
        <v/>
      </c>
    </row>
    <row r="698">
      <c r="C698">
        <f>IF(B698="","",TEXT(B698,"yyyy-mm"))</f>
        <v/>
      </c>
    </row>
    <row r="699">
      <c r="C699">
        <f>IF(B699="","",TEXT(B699,"yyyy-mm"))</f>
        <v/>
      </c>
    </row>
    <row r="700">
      <c r="C700">
        <f>IF(B700="","",TEXT(B700,"yyyy-mm"))</f>
        <v/>
      </c>
    </row>
    <row r="701">
      <c r="C701">
        <f>IF(B701="","",TEXT(B701,"yyyy-mm"))</f>
        <v/>
      </c>
    </row>
    <row r="702">
      <c r="C702">
        <f>IF(B702="","",TEXT(B702,"yyyy-mm"))</f>
        <v/>
      </c>
    </row>
    <row r="703">
      <c r="C703">
        <f>IF(B703="","",TEXT(B703,"yyyy-mm"))</f>
        <v/>
      </c>
    </row>
    <row r="704">
      <c r="C704">
        <f>IF(B704="","",TEXT(B704,"yyyy-mm"))</f>
        <v/>
      </c>
    </row>
    <row r="705">
      <c r="C705">
        <f>IF(B705="","",TEXT(B705,"yyyy-mm"))</f>
        <v/>
      </c>
    </row>
    <row r="706">
      <c r="C706">
        <f>IF(B706="","",TEXT(B706,"yyyy-mm"))</f>
        <v/>
      </c>
    </row>
    <row r="707">
      <c r="C707">
        <f>IF(B707="","",TEXT(B707,"yyyy-mm"))</f>
        <v/>
      </c>
    </row>
    <row r="708">
      <c r="C708">
        <f>IF(B708="","",TEXT(B708,"yyyy-mm"))</f>
        <v/>
      </c>
    </row>
    <row r="709">
      <c r="C709">
        <f>IF(B709="","",TEXT(B709,"yyyy-mm"))</f>
        <v/>
      </c>
    </row>
    <row r="710">
      <c r="C710">
        <f>IF(B710="","",TEXT(B710,"yyyy-mm"))</f>
        <v/>
      </c>
    </row>
    <row r="711">
      <c r="C711">
        <f>IF(B711="","",TEXT(B711,"yyyy-mm"))</f>
        <v/>
      </c>
    </row>
    <row r="712">
      <c r="C712">
        <f>IF(B712="","",TEXT(B712,"yyyy-mm"))</f>
        <v/>
      </c>
    </row>
    <row r="713">
      <c r="C713">
        <f>IF(B713="","",TEXT(B713,"yyyy-mm"))</f>
        <v/>
      </c>
    </row>
    <row r="714">
      <c r="C714">
        <f>IF(B714="","",TEXT(B714,"yyyy-mm"))</f>
        <v/>
      </c>
    </row>
    <row r="715">
      <c r="C715">
        <f>IF(B715="","",TEXT(B715,"yyyy-mm"))</f>
        <v/>
      </c>
    </row>
    <row r="716">
      <c r="C716">
        <f>IF(B716="","",TEXT(B716,"yyyy-mm"))</f>
        <v/>
      </c>
    </row>
    <row r="717">
      <c r="C717">
        <f>IF(B717="","",TEXT(B717,"yyyy-mm"))</f>
        <v/>
      </c>
    </row>
    <row r="718">
      <c r="C718">
        <f>IF(B718="","",TEXT(B718,"yyyy-mm"))</f>
        <v/>
      </c>
    </row>
    <row r="719">
      <c r="C719">
        <f>IF(B719="","",TEXT(B719,"yyyy-mm"))</f>
        <v/>
      </c>
    </row>
    <row r="720">
      <c r="C720">
        <f>IF(B720="","",TEXT(B720,"yyyy-mm"))</f>
        <v/>
      </c>
    </row>
    <row r="721">
      <c r="C721">
        <f>IF(B721="","",TEXT(B721,"yyyy-mm"))</f>
        <v/>
      </c>
    </row>
    <row r="722">
      <c r="C722">
        <f>IF(B722="","",TEXT(B722,"yyyy-mm"))</f>
        <v/>
      </c>
    </row>
    <row r="723">
      <c r="C723">
        <f>IF(B723="","",TEXT(B723,"yyyy-mm"))</f>
        <v/>
      </c>
    </row>
    <row r="724">
      <c r="C724">
        <f>IF(B724="","",TEXT(B724,"yyyy-mm"))</f>
        <v/>
      </c>
    </row>
    <row r="725">
      <c r="C725">
        <f>IF(B725="","",TEXT(B725,"yyyy-mm"))</f>
        <v/>
      </c>
    </row>
    <row r="726">
      <c r="C726">
        <f>IF(B726="","",TEXT(B726,"yyyy-mm"))</f>
        <v/>
      </c>
    </row>
    <row r="727">
      <c r="C727">
        <f>IF(B727="","",TEXT(B727,"yyyy-mm"))</f>
        <v/>
      </c>
    </row>
    <row r="728">
      <c r="C728">
        <f>IF(B728="","",TEXT(B728,"yyyy-mm"))</f>
        <v/>
      </c>
    </row>
    <row r="729">
      <c r="C729">
        <f>IF(B729="","",TEXT(B729,"yyyy-mm"))</f>
        <v/>
      </c>
    </row>
    <row r="730">
      <c r="C730">
        <f>IF(B730="","",TEXT(B730,"yyyy-mm"))</f>
        <v/>
      </c>
    </row>
    <row r="731">
      <c r="C731">
        <f>IF(B731="","",TEXT(B731,"yyyy-mm"))</f>
        <v/>
      </c>
    </row>
    <row r="732">
      <c r="C732">
        <f>IF(B732="","",TEXT(B732,"yyyy-mm"))</f>
        <v/>
      </c>
    </row>
    <row r="733">
      <c r="C733">
        <f>IF(B733="","",TEXT(B733,"yyyy-mm"))</f>
        <v/>
      </c>
    </row>
    <row r="734">
      <c r="C734">
        <f>IF(B734="","",TEXT(B734,"yyyy-mm"))</f>
        <v/>
      </c>
    </row>
    <row r="735">
      <c r="C735">
        <f>IF(B735="","",TEXT(B735,"yyyy-mm"))</f>
        <v/>
      </c>
    </row>
    <row r="736">
      <c r="C736">
        <f>IF(B736="","",TEXT(B736,"yyyy-mm"))</f>
        <v/>
      </c>
    </row>
    <row r="737">
      <c r="C737">
        <f>IF(B737="","",TEXT(B737,"yyyy-mm"))</f>
        <v/>
      </c>
    </row>
    <row r="738">
      <c r="C738">
        <f>IF(B738="","",TEXT(B738,"yyyy-mm"))</f>
        <v/>
      </c>
    </row>
    <row r="739">
      <c r="C739">
        <f>IF(B739="","",TEXT(B739,"yyyy-mm"))</f>
        <v/>
      </c>
    </row>
    <row r="740">
      <c r="C740">
        <f>IF(B740="","",TEXT(B740,"yyyy-mm"))</f>
        <v/>
      </c>
    </row>
    <row r="741">
      <c r="C741">
        <f>IF(B741="","",TEXT(B741,"yyyy-mm"))</f>
        <v/>
      </c>
    </row>
    <row r="742">
      <c r="C742">
        <f>IF(B742="","",TEXT(B742,"yyyy-mm"))</f>
        <v/>
      </c>
    </row>
    <row r="743">
      <c r="C743">
        <f>IF(B743="","",TEXT(B743,"yyyy-mm"))</f>
        <v/>
      </c>
    </row>
    <row r="744">
      <c r="C744">
        <f>IF(B744="","",TEXT(B744,"yyyy-mm"))</f>
        <v/>
      </c>
    </row>
    <row r="745">
      <c r="C745">
        <f>IF(B745="","",TEXT(B745,"yyyy-mm"))</f>
        <v/>
      </c>
    </row>
    <row r="746">
      <c r="C746">
        <f>IF(B746="","",TEXT(B746,"yyyy-mm"))</f>
        <v/>
      </c>
    </row>
    <row r="747">
      <c r="C747">
        <f>IF(B747="","",TEXT(B747,"yyyy-mm"))</f>
        <v/>
      </c>
    </row>
    <row r="748">
      <c r="C748">
        <f>IF(B748="","",TEXT(B748,"yyyy-mm"))</f>
        <v/>
      </c>
    </row>
    <row r="749">
      <c r="C749">
        <f>IF(B749="","",TEXT(B749,"yyyy-mm"))</f>
        <v/>
      </c>
    </row>
    <row r="750">
      <c r="C750">
        <f>IF(B750="","",TEXT(B750,"yyyy-mm"))</f>
        <v/>
      </c>
    </row>
    <row r="751">
      <c r="C751">
        <f>IF(B751="","",TEXT(B751,"yyyy-mm"))</f>
        <v/>
      </c>
    </row>
    <row r="752">
      <c r="C752">
        <f>IF(B752="","",TEXT(B752,"yyyy-mm"))</f>
        <v/>
      </c>
    </row>
    <row r="753">
      <c r="C753">
        <f>IF(B753="","",TEXT(B753,"yyyy-mm"))</f>
        <v/>
      </c>
    </row>
    <row r="754">
      <c r="C754">
        <f>IF(B754="","",TEXT(B754,"yyyy-mm"))</f>
        <v/>
      </c>
    </row>
    <row r="755">
      <c r="C755">
        <f>IF(B755="","",TEXT(B755,"yyyy-mm"))</f>
        <v/>
      </c>
    </row>
    <row r="756">
      <c r="C756">
        <f>IF(B756="","",TEXT(B756,"yyyy-mm"))</f>
        <v/>
      </c>
    </row>
    <row r="757">
      <c r="C757">
        <f>IF(B757="","",TEXT(B757,"yyyy-mm"))</f>
        <v/>
      </c>
    </row>
    <row r="758">
      <c r="C758">
        <f>IF(B758="","",TEXT(B758,"yyyy-mm"))</f>
        <v/>
      </c>
    </row>
    <row r="759">
      <c r="C759">
        <f>IF(B759="","",TEXT(B759,"yyyy-mm"))</f>
        <v/>
      </c>
    </row>
    <row r="760">
      <c r="C760">
        <f>IF(B760="","",TEXT(B760,"yyyy-mm"))</f>
        <v/>
      </c>
    </row>
    <row r="761">
      <c r="C761">
        <f>IF(B761="","",TEXT(B761,"yyyy-mm"))</f>
        <v/>
      </c>
    </row>
    <row r="762">
      <c r="C762">
        <f>IF(B762="","",TEXT(B762,"yyyy-mm"))</f>
        <v/>
      </c>
    </row>
    <row r="763">
      <c r="C763">
        <f>IF(B763="","",TEXT(B763,"yyyy-mm"))</f>
        <v/>
      </c>
    </row>
    <row r="764">
      <c r="C764">
        <f>IF(B764="","",TEXT(B764,"yyyy-mm"))</f>
        <v/>
      </c>
    </row>
    <row r="765">
      <c r="C765">
        <f>IF(B765="","",TEXT(B765,"yyyy-mm"))</f>
        <v/>
      </c>
    </row>
    <row r="766">
      <c r="C766">
        <f>IF(B766="","",TEXT(B766,"yyyy-mm"))</f>
        <v/>
      </c>
    </row>
    <row r="767">
      <c r="C767">
        <f>IF(B767="","",TEXT(B767,"yyyy-mm"))</f>
        <v/>
      </c>
    </row>
    <row r="768">
      <c r="C768">
        <f>IF(B768="","",TEXT(B768,"yyyy-mm"))</f>
        <v/>
      </c>
    </row>
    <row r="769">
      <c r="C769">
        <f>IF(B769="","",TEXT(B769,"yyyy-mm"))</f>
        <v/>
      </c>
    </row>
    <row r="770">
      <c r="C770">
        <f>IF(B770="","",TEXT(B770,"yyyy-mm"))</f>
        <v/>
      </c>
    </row>
    <row r="771">
      <c r="C771">
        <f>IF(B771="","",TEXT(B771,"yyyy-mm"))</f>
        <v/>
      </c>
    </row>
    <row r="772">
      <c r="C772">
        <f>IF(B772="","",TEXT(B772,"yyyy-mm"))</f>
        <v/>
      </c>
    </row>
    <row r="773">
      <c r="C773">
        <f>IF(B773="","",TEXT(B773,"yyyy-mm"))</f>
        <v/>
      </c>
    </row>
    <row r="774">
      <c r="C774">
        <f>IF(B774="","",TEXT(B774,"yyyy-mm"))</f>
        <v/>
      </c>
    </row>
    <row r="775">
      <c r="C775">
        <f>IF(B775="","",TEXT(B775,"yyyy-mm"))</f>
        <v/>
      </c>
    </row>
    <row r="776">
      <c r="C776">
        <f>IF(B776="","",TEXT(B776,"yyyy-mm"))</f>
        <v/>
      </c>
    </row>
    <row r="777">
      <c r="C777">
        <f>IF(B777="","",TEXT(B777,"yyyy-mm"))</f>
        <v/>
      </c>
    </row>
    <row r="778">
      <c r="C778">
        <f>IF(B778="","",TEXT(B778,"yyyy-mm"))</f>
        <v/>
      </c>
    </row>
    <row r="779">
      <c r="C779">
        <f>IF(B779="","",TEXT(B779,"yyyy-mm"))</f>
        <v/>
      </c>
    </row>
    <row r="780">
      <c r="C780">
        <f>IF(B780="","",TEXT(B780,"yyyy-mm"))</f>
        <v/>
      </c>
    </row>
    <row r="781">
      <c r="C781">
        <f>IF(B781="","",TEXT(B781,"yyyy-mm"))</f>
        <v/>
      </c>
    </row>
    <row r="782">
      <c r="C782">
        <f>IF(B782="","",TEXT(B782,"yyyy-mm"))</f>
        <v/>
      </c>
    </row>
    <row r="783">
      <c r="C783">
        <f>IF(B783="","",TEXT(B783,"yyyy-mm"))</f>
        <v/>
      </c>
    </row>
    <row r="784">
      <c r="C784">
        <f>IF(B784="","",TEXT(B784,"yyyy-mm"))</f>
        <v/>
      </c>
    </row>
    <row r="785">
      <c r="C785">
        <f>IF(B785="","",TEXT(B785,"yyyy-mm"))</f>
        <v/>
      </c>
    </row>
    <row r="786">
      <c r="C786">
        <f>IF(B786="","",TEXT(B786,"yyyy-mm"))</f>
        <v/>
      </c>
    </row>
    <row r="787">
      <c r="C787">
        <f>IF(B787="","",TEXT(B787,"yyyy-mm"))</f>
        <v/>
      </c>
    </row>
    <row r="788">
      <c r="C788">
        <f>IF(B788="","",TEXT(B788,"yyyy-mm"))</f>
        <v/>
      </c>
    </row>
    <row r="789">
      <c r="C789">
        <f>IF(B789="","",TEXT(B789,"yyyy-mm"))</f>
        <v/>
      </c>
    </row>
    <row r="790">
      <c r="C790">
        <f>IF(B790="","",TEXT(B790,"yyyy-mm"))</f>
        <v/>
      </c>
    </row>
    <row r="791">
      <c r="C791">
        <f>IF(B791="","",TEXT(B791,"yyyy-mm"))</f>
        <v/>
      </c>
    </row>
    <row r="792">
      <c r="C792">
        <f>IF(B792="","",TEXT(B792,"yyyy-mm"))</f>
        <v/>
      </c>
    </row>
    <row r="793">
      <c r="C793">
        <f>IF(B793="","",TEXT(B793,"yyyy-mm"))</f>
        <v/>
      </c>
    </row>
    <row r="794">
      <c r="C794">
        <f>IF(B794="","",TEXT(B794,"yyyy-mm"))</f>
        <v/>
      </c>
    </row>
    <row r="795">
      <c r="C795">
        <f>IF(B795="","",TEXT(B795,"yyyy-mm"))</f>
        <v/>
      </c>
    </row>
    <row r="796">
      <c r="C796">
        <f>IF(B796="","",TEXT(B796,"yyyy-mm"))</f>
        <v/>
      </c>
    </row>
    <row r="797">
      <c r="C797">
        <f>IF(B797="","",TEXT(B797,"yyyy-mm"))</f>
        <v/>
      </c>
    </row>
    <row r="798">
      <c r="C798">
        <f>IF(B798="","",TEXT(B798,"yyyy-mm"))</f>
        <v/>
      </c>
    </row>
    <row r="799">
      <c r="C799">
        <f>IF(B799="","",TEXT(B799,"yyyy-mm"))</f>
        <v/>
      </c>
    </row>
    <row r="800">
      <c r="C800">
        <f>IF(B800="","",TEXT(B800,"yyyy-mm"))</f>
        <v/>
      </c>
    </row>
    <row r="801">
      <c r="C801">
        <f>IF(B801="","",TEXT(B801,"yyyy-mm"))</f>
        <v/>
      </c>
    </row>
    <row r="802">
      <c r="C802">
        <f>IF(B802="","",TEXT(B802,"yyyy-mm"))</f>
        <v/>
      </c>
    </row>
    <row r="803">
      <c r="C803">
        <f>IF(B803="","",TEXT(B803,"yyyy-mm"))</f>
        <v/>
      </c>
    </row>
    <row r="804">
      <c r="C804">
        <f>IF(B804="","",TEXT(B804,"yyyy-mm"))</f>
        <v/>
      </c>
    </row>
    <row r="805">
      <c r="C805">
        <f>IF(B805="","",TEXT(B805,"yyyy-mm"))</f>
        <v/>
      </c>
    </row>
    <row r="806">
      <c r="C806">
        <f>IF(B806="","",TEXT(B806,"yyyy-mm"))</f>
        <v/>
      </c>
    </row>
    <row r="807">
      <c r="C807">
        <f>IF(B807="","",TEXT(B807,"yyyy-mm"))</f>
        <v/>
      </c>
    </row>
    <row r="808">
      <c r="C808">
        <f>IF(B808="","",TEXT(B808,"yyyy-mm"))</f>
        <v/>
      </c>
    </row>
    <row r="809">
      <c r="C809">
        <f>IF(B809="","",TEXT(B809,"yyyy-mm"))</f>
        <v/>
      </c>
    </row>
    <row r="810">
      <c r="C810">
        <f>IF(B810="","",TEXT(B810,"yyyy-mm"))</f>
        <v/>
      </c>
    </row>
    <row r="811">
      <c r="C811">
        <f>IF(B811="","",TEXT(B811,"yyyy-mm"))</f>
        <v/>
      </c>
    </row>
    <row r="812">
      <c r="C812">
        <f>IF(B812="","",TEXT(B812,"yyyy-mm"))</f>
        <v/>
      </c>
    </row>
    <row r="813">
      <c r="C813">
        <f>IF(B813="","",TEXT(B813,"yyyy-mm"))</f>
        <v/>
      </c>
    </row>
    <row r="814">
      <c r="C814">
        <f>IF(B814="","",TEXT(B814,"yyyy-mm"))</f>
        <v/>
      </c>
    </row>
    <row r="815">
      <c r="C815">
        <f>IF(B815="","",TEXT(B815,"yyyy-mm"))</f>
        <v/>
      </c>
    </row>
    <row r="816">
      <c r="C816">
        <f>IF(B816="","",TEXT(B816,"yyyy-mm"))</f>
        <v/>
      </c>
    </row>
    <row r="817">
      <c r="C817">
        <f>IF(B817="","",TEXT(B817,"yyyy-mm"))</f>
        <v/>
      </c>
    </row>
    <row r="818">
      <c r="C818">
        <f>IF(B818="","",TEXT(B818,"yyyy-mm"))</f>
        <v/>
      </c>
    </row>
    <row r="819">
      <c r="C819">
        <f>IF(B819="","",TEXT(B819,"yyyy-mm"))</f>
        <v/>
      </c>
    </row>
    <row r="820">
      <c r="C820">
        <f>IF(B820="","",TEXT(B820,"yyyy-mm"))</f>
        <v/>
      </c>
    </row>
    <row r="821">
      <c r="C821">
        <f>IF(B821="","",TEXT(B821,"yyyy-mm"))</f>
        <v/>
      </c>
    </row>
    <row r="822">
      <c r="C822">
        <f>IF(B822="","",TEXT(B822,"yyyy-mm"))</f>
        <v/>
      </c>
    </row>
    <row r="823">
      <c r="C823">
        <f>IF(B823="","",TEXT(B823,"yyyy-mm"))</f>
        <v/>
      </c>
    </row>
    <row r="824">
      <c r="C824">
        <f>IF(B824="","",TEXT(B824,"yyyy-mm"))</f>
        <v/>
      </c>
    </row>
    <row r="825">
      <c r="C825">
        <f>IF(B825="","",TEXT(B825,"yyyy-mm"))</f>
        <v/>
      </c>
    </row>
    <row r="826">
      <c r="C826">
        <f>IF(B826="","",TEXT(B826,"yyyy-mm"))</f>
        <v/>
      </c>
    </row>
    <row r="827">
      <c r="C827">
        <f>IF(B827="","",TEXT(B827,"yyyy-mm"))</f>
        <v/>
      </c>
    </row>
    <row r="828">
      <c r="C828">
        <f>IF(B828="","",TEXT(B828,"yyyy-mm"))</f>
        <v/>
      </c>
    </row>
    <row r="829">
      <c r="C829">
        <f>IF(B829="","",TEXT(B829,"yyyy-mm"))</f>
        <v/>
      </c>
    </row>
    <row r="830">
      <c r="C830">
        <f>IF(B830="","",TEXT(B830,"yyyy-mm"))</f>
        <v/>
      </c>
    </row>
    <row r="831">
      <c r="C831">
        <f>IF(B831="","",TEXT(B831,"yyyy-mm"))</f>
        <v/>
      </c>
    </row>
    <row r="832">
      <c r="C832">
        <f>IF(B832="","",TEXT(B832,"yyyy-mm"))</f>
        <v/>
      </c>
    </row>
    <row r="833">
      <c r="C833">
        <f>IF(B833="","",TEXT(B833,"yyyy-mm"))</f>
        <v/>
      </c>
    </row>
    <row r="834">
      <c r="C834">
        <f>IF(B834="","",TEXT(B834,"yyyy-mm"))</f>
        <v/>
      </c>
    </row>
    <row r="835">
      <c r="C835">
        <f>IF(B835="","",TEXT(B835,"yyyy-mm"))</f>
        <v/>
      </c>
    </row>
    <row r="836">
      <c r="C836">
        <f>IF(B836="","",TEXT(B836,"yyyy-mm"))</f>
        <v/>
      </c>
    </row>
    <row r="837">
      <c r="C837">
        <f>IF(B837="","",TEXT(B837,"yyyy-mm"))</f>
        <v/>
      </c>
    </row>
    <row r="838">
      <c r="C838">
        <f>IF(B838="","",TEXT(B838,"yyyy-mm"))</f>
        <v/>
      </c>
    </row>
    <row r="839">
      <c r="C839">
        <f>IF(B839="","",TEXT(B839,"yyyy-mm"))</f>
        <v/>
      </c>
    </row>
    <row r="840">
      <c r="C840">
        <f>IF(B840="","",TEXT(B840,"yyyy-mm"))</f>
        <v/>
      </c>
    </row>
    <row r="841">
      <c r="C841">
        <f>IF(B841="","",TEXT(B841,"yyyy-mm"))</f>
        <v/>
      </c>
    </row>
    <row r="842">
      <c r="C842">
        <f>IF(B842="","",TEXT(B842,"yyyy-mm"))</f>
        <v/>
      </c>
    </row>
    <row r="843">
      <c r="C843">
        <f>IF(B843="","",TEXT(B843,"yyyy-mm"))</f>
        <v/>
      </c>
    </row>
    <row r="844">
      <c r="C844">
        <f>IF(B844="","",TEXT(B844,"yyyy-mm"))</f>
        <v/>
      </c>
    </row>
    <row r="845">
      <c r="C845">
        <f>IF(B845="","",TEXT(B845,"yyyy-mm"))</f>
        <v/>
      </c>
    </row>
    <row r="846">
      <c r="C846">
        <f>IF(B846="","",TEXT(B846,"yyyy-mm"))</f>
        <v/>
      </c>
    </row>
    <row r="847">
      <c r="C847">
        <f>IF(B847="","",TEXT(B847,"yyyy-mm"))</f>
        <v/>
      </c>
    </row>
    <row r="848">
      <c r="C848">
        <f>IF(B848="","",TEXT(B848,"yyyy-mm"))</f>
        <v/>
      </c>
    </row>
    <row r="849">
      <c r="C849">
        <f>IF(B849="","",TEXT(B849,"yyyy-mm"))</f>
        <v/>
      </c>
    </row>
    <row r="850">
      <c r="C850">
        <f>IF(B850="","",TEXT(B850,"yyyy-mm"))</f>
        <v/>
      </c>
    </row>
    <row r="851">
      <c r="C851">
        <f>IF(B851="","",TEXT(B851,"yyyy-mm"))</f>
        <v/>
      </c>
    </row>
    <row r="852">
      <c r="C852">
        <f>IF(B852="","",TEXT(B852,"yyyy-mm"))</f>
        <v/>
      </c>
    </row>
    <row r="853">
      <c r="C853">
        <f>IF(B853="","",TEXT(B853,"yyyy-mm"))</f>
        <v/>
      </c>
    </row>
    <row r="854">
      <c r="C854">
        <f>IF(B854="","",TEXT(B854,"yyyy-mm"))</f>
        <v/>
      </c>
    </row>
    <row r="855">
      <c r="C855">
        <f>IF(B855="","",TEXT(B855,"yyyy-mm"))</f>
        <v/>
      </c>
    </row>
    <row r="856">
      <c r="C856">
        <f>IF(B856="","",TEXT(B856,"yyyy-mm"))</f>
        <v/>
      </c>
    </row>
    <row r="857">
      <c r="C857">
        <f>IF(B857="","",TEXT(B857,"yyyy-mm"))</f>
        <v/>
      </c>
    </row>
    <row r="858">
      <c r="C858">
        <f>IF(B858="","",TEXT(B858,"yyyy-mm"))</f>
        <v/>
      </c>
    </row>
    <row r="859">
      <c r="C859">
        <f>IF(B859="","",TEXT(B859,"yyyy-mm"))</f>
        <v/>
      </c>
    </row>
    <row r="860">
      <c r="C860">
        <f>IF(B860="","",TEXT(B860,"yyyy-mm"))</f>
        <v/>
      </c>
    </row>
    <row r="861">
      <c r="C861">
        <f>IF(B861="","",TEXT(B861,"yyyy-mm"))</f>
        <v/>
      </c>
    </row>
    <row r="862">
      <c r="C862">
        <f>IF(B862="","",TEXT(B862,"yyyy-mm"))</f>
        <v/>
      </c>
    </row>
    <row r="863">
      <c r="C863">
        <f>IF(B863="","",TEXT(B863,"yyyy-mm"))</f>
        <v/>
      </c>
    </row>
    <row r="864">
      <c r="C864">
        <f>IF(B864="","",TEXT(B864,"yyyy-mm"))</f>
        <v/>
      </c>
    </row>
    <row r="865">
      <c r="C865">
        <f>IF(B865="","",TEXT(B865,"yyyy-mm"))</f>
        <v/>
      </c>
    </row>
    <row r="866">
      <c r="C866">
        <f>IF(B866="","",TEXT(B866,"yyyy-mm"))</f>
        <v/>
      </c>
    </row>
    <row r="867">
      <c r="C867">
        <f>IF(B867="","",TEXT(B867,"yyyy-mm"))</f>
        <v/>
      </c>
    </row>
    <row r="868">
      <c r="C868">
        <f>IF(B868="","",TEXT(B868,"yyyy-mm"))</f>
        <v/>
      </c>
    </row>
    <row r="869">
      <c r="C869">
        <f>IF(B869="","",TEXT(B869,"yyyy-mm"))</f>
        <v/>
      </c>
    </row>
    <row r="870">
      <c r="C870">
        <f>IF(B870="","",TEXT(B870,"yyyy-mm"))</f>
        <v/>
      </c>
    </row>
    <row r="871">
      <c r="C871">
        <f>IF(B871="","",TEXT(B871,"yyyy-mm"))</f>
        <v/>
      </c>
    </row>
    <row r="872">
      <c r="C872">
        <f>IF(B872="","",TEXT(B872,"yyyy-mm"))</f>
        <v/>
      </c>
    </row>
    <row r="873">
      <c r="C873">
        <f>IF(B873="","",TEXT(B873,"yyyy-mm"))</f>
        <v/>
      </c>
    </row>
    <row r="874">
      <c r="C874">
        <f>IF(B874="","",TEXT(B874,"yyyy-mm"))</f>
        <v/>
      </c>
    </row>
    <row r="875">
      <c r="C875">
        <f>IF(B875="","",TEXT(B875,"yyyy-mm"))</f>
        <v/>
      </c>
    </row>
    <row r="876">
      <c r="C876">
        <f>IF(B876="","",TEXT(B876,"yyyy-mm"))</f>
        <v/>
      </c>
    </row>
    <row r="877">
      <c r="C877">
        <f>IF(B877="","",TEXT(B877,"yyyy-mm"))</f>
        <v/>
      </c>
    </row>
    <row r="878">
      <c r="C878">
        <f>IF(B878="","",TEXT(B878,"yyyy-mm"))</f>
        <v/>
      </c>
    </row>
    <row r="879">
      <c r="C879">
        <f>IF(B879="","",TEXT(B879,"yyyy-mm"))</f>
        <v/>
      </c>
    </row>
    <row r="880">
      <c r="C880">
        <f>IF(B880="","",TEXT(B880,"yyyy-mm"))</f>
        <v/>
      </c>
    </row>
    <row r="881">
      <c r="C881">
        <f>IF(B881="","",TEXT(B881,"yyyy-mm"))</f>
        <v/>
      </c>
    </row>
    <row r="882">
      <c r="C882">
        <f>IF(B882="","",TEXT(B882,"yyyy-mm"))</f>
        <v/>
      </c>
    </row>
    <row r="883">
      <c r="C883">
        <f>IF(B883="","",TEXT(B883,"yyyy-mm"))</f>
        <v/>
      </c>
    </row>
    <row r="884">
      <c r="C884">
        <f>IF(B884="","",TEXT(B884,"yyyy-mm"))</f>
        <v/>
      </c>
    </row>
    <row r="885">
      <c r="C885">
        <f>IF(B885="","",TEXT(B885,"yyyy-mm"))</f>
        <v/>
      </c>
    </row>
    <row r="886">
      <c r="C886">
        <f>IF(B886="","",TEXT(B886,"yyyy-mm"))</f>
        <v/>
      </c>
    </row>
    <row r="887">
      <c r="C887">
        <f>IF(B887="","",TEXT(B887,"yyyy-mm"))</f>
        <v/>
      </c>
    </row>
    <row r="888">
      <c r="C888">
        <f>IF(B888="","",TEXT(B888,"yyyy-mm"))</f>
        <v/>
      </c>
    </row>
    <row r="889">
      <c r="C889">
        <f>IF(B889="","",TEXT(B889,"yyyy-mm"))</f>
        <v/>
      </c>
    </row>
    <row r="890">
      <c r="C890">
        <f>IF(B890="","",TEXT(B890,"yyyy-mm"))</f>
        <v/>
      </c>
    </row>
    <row r="891">
      <c r="C891">
        <f>IF(B891="","",TEXT(B891,"yyyy-mm"))</f>
        <v/>
      </c>
    </row>
    <row r="892">
      <c r="C892">
        <f>IF(B892="","",TEXT(B892,"yyyy-mm"))</f>
        <v/>
      </c>
    </row>
    <row r="893">
      <c r="C893">
        <f>IF(B893="","",TEXT(B893,"yyyy-mm"))</f>
        <v/>
      </c>
    </row>
    <row r="894">
      <c r="C894">
        <f>IF(B894="","",TEXT(B894,"yyyy-mm"))</f>
        <v/>
      </c>
    </row>
    <row r="895">
      <c r="C895">
        <f>IF(B895="","",TEXT(B895,"yyyy-mm"))</f>
        <v/>
      </c>
    </row>
    <row r="896">
      <c r="C896">
        <f>IF(B896="","",TEXT(B896,"yyyy-mm"))</f>
        <v/>
      </c>
    </row>
    <row r="897">
      <c r="C897">
        <f>IF(B897="","",TEXT(B897,"yyyy-mm"))</f>
        <v/>
      </c>
    </row>
    <row r="898">
      <c r="C898">
        <f>IF(B898="","",TEXT(B898,"yyyy-mm"))</f>
        <v/>
      </c>
    </row>
    <row r="899">
      <c r="C899">
        <f>IF(B899="","",TEXT(B899,"yyyy-mm"))</f>
        <v/>
      </c>
    </row>
    <row r="900">
      <c r="C900">
        <f>IF(B900="","",TEXT(B900,"yyyy-mm"))</f>
        <v/>
      </c>
    </row>
    <row r="901">
      <c r="C901">
        <f>IF(B901="","",TEXT(B901,"yyyy-mm"))</f>
        <v/>
      </c>
    </row>
    <row r="902">
      <c r="C902">
        <f>IF(B902="","",TEXT(B902,"yyyy-mm"))</f>
        <v/>
      </c>
    </row>
    <row r="903">
      <c r="C903">
        <f>IF(B903="","",TEXT(B903,"yyyy-mm"))</f>
        <v/>
      </c>
    </row>
    <row r="904">
      <c r="C904">
        <f>IF(B904="","",TEXT(B904,"yyyy-mm"))</f>
        <v/>
      </c>
    </row>
    <row r="905">
      <c r="C905">
        <f>IF(B905="","",TEXT(B905,"yyyy-mm"))</f>
        <v/>
      </c>
    </row>
    <row r="906">
      <c r="C906">
        <f>IF(B906="","",TEXT(B906,"yyyy-mm"))</f>
        <v/>
      </c>
    </row>
    <row r="907">
      <c r="C907">
        <f>IF(B907="","",TEXT(B907,"yyyy-mm"))</f>
        <v/>
      </c>
    </row>
    <row r="908">
      <c r="C908">
        <f>IF(B908="","",TEXT(B908,"yyyy-mm"))</f>
        <v/>
      </c>
    </row>
    <row r="909">
      <c r="C909">
        <f>IF(B909="","",TEXT(B909,"yyyy-mm"))</f>
        <v/>
      </c>
    </row>
    <row r="910">
      <c r="C910">
        <f>IF(B910="","",TEXT(B910,"yyyy-mm"))</f>
        <v/>
      </c>
    </row>
    <row r="911">
      <c r="C911">
        <f>IF(B911="","",TEXT(B911,"yyyy-mm"))</f>
        <v/>
      </c>
    </row>
    <row r="912">
      <c r="C912">
        <f>IF(B912="","",TEXT(B912,"yyyy-mm"))</f>
        <v/>
      </c>
    </row>
    <row r="913">
      <c r="C913">
        <f>IF(B913="","",TEXT(B913,"yyyy-mm"))</f>
        <v/>
      </c>
    </row>
    <row r="914">
      <c r="C914">
        <f>IF(B914="","",TEXT(B914,"yyyy-mm"))</f>
        <v/>
      </c>
    </row>
    <row r="915">
      <c r="C915">
        <f>IF(B915="","",TEXT(B915,"yyyy-mm"))</f>
        <v/>
      </c>
    </row>
    <row r="916">
      <c r="C916">
        <f>IF(B916="","",TEXT(B916,"yyyy-mm"))</f>
        <v/>
      </c>
    </row>
    <row r="917">
      <c r="C917">
        <f>IF(B917="","",TEXT(B917,"yyyy-mm"))</f>
        <v/>
      </c>
    </row>
    <row r="918">
      <c r="C918">
        <f>IF(B918="","",TEXT(B918,"yyyy-mm"))</f>
        <v/>
      </c>
    </row>
    <row r="919">
      <c r="C919">
        <f>IF(B919="","",TEXT(B919,"yyyy-mm"))</f>
        <v/>
      </c>
    </row>
    <row r="920">
      <c r="C920">
        <f>IF(B920="","",TEXT(B920,"yyyy-mm"))</f>
        <v/>
      </c>
    </row>
    <row r="921">
      <c r="C921">
        <f>IF(B921="","",TEXT(B921,"yyyy-mm"))</f>
        <v/>
      </c>
    </row>
    <row r="922">
      <c r="C922">
        <f>IF(B922="","",TEXT(B922,"yyyy-mm"))</f>
        <v/>
      </c>
    </row>
    <row r="923">
      <c r="C923">
        <f>IF(B923="","",TEXT(B923,"yyyy-mm"))</f>
        <v/>
      </c>
    </row>
    <row r="924">
      <c r="C924">
        <f>IF(B924="","",TEXT(B924,"yyyy-mm"))</f>
        <v/>
      </c>
    </row>
    <row r="925">
      <c r="C925">
        <f>IF(B925="","",TEXT(B925,"yyyy-mm"))</f>
        <v/>
      </c>
    </row>
    <row r="926">
      <c r="C926">
        <f>IF(B926="","",TEXT(B926,"yyyy-mm"))</f>
        <v/>
      </c>
    </row>
    <row r="927">
      <c r="C927">
        <f>IF(B927="","",TEXT(B927,"yyyy-mm"))</f>
        <v/>
      </c>
    </row>
    <row r="928">
      <c r="C928">
        <f>IF(B928="","",TEXT(B928,"yyyy-mm"))</f>
        <v/>
      </c>
    </row>
    <row r="929">
      <c r="C929">
        <f>IF(B929="","",TEXT(B929,"yyyy-mm"))</f>
        <v/>
      </c>
    </row>
    <row r="930">
      <c r="C930">
        <f>IF(B930="","",TEXT(B930,"yyyy-mm"))</f>
        <v/>
      </c>
    </row>
    <row r="931">
      <c r="C931">
        <f>IF(B931="","",TEXT(B931,"yyyy-mm"))</f>
        <v/>
      </c>
    </row>
    <row r="932">
      <c r="C932">
        <f>IF(B932="","",TEXT(B932,"yyyy-mm"))</f>
        <v/>
      </c>
    </row>
    <row r="933">
      <c r="C933">
        <f>IF(B933="","",TEXT(B933,"yyyy-mm"))</f>
        <v/>
      </c>
    </row>
    <row r="934">
      <c r="C934">
        <f>IF(B934="","",TEXT(B934,"yyyy-mm"))</f>
        <v/>
      </c>
    </row>
    <row r="935">
      <c r="C935">
        <f>IF(B935="","",TEXT(B935,"yyyy-mm"))</f>
        <v/>
      </c>
    </row>
    <row r="936">
      <c r="C936">
        <f>IF(B936="","",TEXT(B936,"yyyy-mm"))</f>
        <v/>
      </c>
    </row>
    <row r="937">
      <c r="C937">
        <f>IF(B937="","",TEXT(B937,"yyyy-mm"))</f>
        <v/>
      </c>
    </row>
    <row r="938">
      <c r="C938">
        <f>IF(B938="","",TEXT(B938,"yyyy-mm"))</f>
        <v/>
      </c>
    </row>
    <row r="939">
      <c r="C939">
        <f>IF(B939="","",TEXT(B939,"yyyy-mm"))</f>
        <v/>
      </c>
    </row>
    <row r="940">
      <c r="C940">
        <f>IF(B940="","",TEXT(B940,"yyyy-mm"))</f>
        <v/>
      </c>
    </row>
    <row r="941">
      <c r="C941">
        <f>IF(B941="","",TEXT(B941,"yyyy-mm"))</f>
        <v/>
      </c>
    </row>
    <row r="942">
      <c r="C942">
        <f>IF(B942="","",TEXT(B942,"yyyy-mm"))</f>
        <v/>
      </c>
    </row>
    <row r="943">
      <c r="C943">
        <f>IF(B943="","",TEXT(B943,"yyyy-mm"))</f>
        <v/>
      </c>
    </row>
    <row r="944">
      <c r="C944">
        <f>IF(B944="","",TEXT(B944,"yyyy-mm"))</f>
        <v/>
      </c>
    </row>
    <row r="945">
      <c r="C945">
        <f>IF(B945="","",TEXT(B945,"yyyy-mm"))</f>
        <v/>
      </c>
    </row>
    <row r="946">
      <c r="C946">
        <f>IF(B946="","",TEXT(B946,"yyyy-mm"))</f>
        <v/>
      </c>
    </row>
    <row r="947">
      <c r="C947">
        <f>IF(B947="","",TEXT(B947,"yyyy-mm"))</f>
        <v/>
      </c>
    </row>
    <row r="948">
      <c r="C948">
        <f>IF(B948="","",TEXT(B948,"yyyy-mm"))</f>
        <v/>
      </c>
    </row>
    <row r="949">
      <c r="C949">
        <f>IF(B949="","",TEXT(B949,"yyyy-mm"))</f>
        <v/>
      </c>
    </row>
    <row r="950">
      <c r="C950">
        <f>IF(B950="","",TEXT(B950,"yyyy-mm"))</f>
        <v/>
      </c>
    </row>
    <row r="951">
      <c r="C951">
        <f>IF(B951="","",TEXT(B951,"yyyy-mm"))</f>
        <v/>
      </c>
    </row>
    <row r="952">
      <c r="C952">
        <f>IF(B952="","",TEXT(B952,"yyyy-mm"))</f>
        <v/>
      </c>
    </row>
    <row r="953">
      <c r="C953">
        <f>IF(B953="","",TEXT(B953,"yyyy-mm"))</f>
        <v/>
      </c>
    </row>
    <row r="954">
      <c r="C954">
        <f>IF(B954="","",TEXT(B954,"yyyy-mm"))</f>
        <v/>
      </c>
    </row>
    <row r="955">
      <c r="C955">
        <f>IF(B955="","",TEXT(B955,"yyyy-mm"))</f>
        <v/>
      </c>
    </row>
    <row r="956">
      <c r="C956">
        <f>IF(B956="","",TEXT(B956,"yyyy-mm"))</f>
        <v/>
      </c>
    </row>
    <row r="957">
      <c r="C957">
        <f>IF(B957="","",TEXT(B957,"yyyy-mm"))</f>
        <v/>
      </c>
    </row>
    <row r="958">
      <c r="C958">
        <f>IF(B958="","",TEXT(B958,"yyyy-mm"))</f>
        <v/>
      </c>
    </row>
    <row r="959">
      <c r="C959">
        <f>IF(B959="","",TEXT(B959,"yyyy-mm"))</f>
        <v/>
      </c>
    </row>
    <row r="960">
      <c r="C960">
        <f>IF(B960="","",TEXT(B960,"yyyy-mm"))</f>
        <v/>
      </c>
    </row>
    <row r="961">
      <c r="C961">
        <f>IF(B961="","",TEXT(B961,"yyyy-mm"))</f>
        <v/>
      </c>
    </row>
    <row r="962">
      <c r="C962">
        <f>IF(B962="","",TEXT(B962,"yyyy-mm"))</f>
        <v/>
      </c>
    </row>
    <row r="963">
      <c r="C963">
        <f>IF(B963="","",TEXT(B963,"yyyy-mm"))</f>
        <v/>
      </c>
    </row>
    <row r="964">
      <c r="C964">
        <f>IF(B964="","",TEXT(B964,"yyyy-mm"))</f>
        <v/>
      </c>
    </row>
    <row r="965">
      <c r="C965">
        <f>IF(B965="","",TEXT(B965,"yyyy-mm"))</f>
        <v/>
      </c>
    </row>
    <row r="966">
      <c r="C966">
        <f>IF(B966="","",TEXT(B966,"yyyy-mm"))</f>
        <v/>
      </c>
    </row>
    <row r="967">
      <c r="C967">
        <f>IF(B967="","",TEXT(B967,"yyyy-mm"))</f>
        <v/>
      </c>
    </row>
    <row r="968">
      <c r="C968">
        <f>IF(B968="","",TEXT(B968,"yyyy-mm"))</f>
        <v/>
      </c>
    </row>
    <row r="969">
      <c r="C969">
        <f>IF(B969="","",TEXT(B969,"yyyy-mm"))</f>
        <v/>
      </c>
    </row>
    <row r="970">
      <c r="C970">
        <f>IF(B970="","",TEXT(B970,"yyyy-mm"))</f>
        <v/>
      </c>
    </row>
    <row r="971">
      <c r="C971">
        <f>IF(B971="","",TEXT(B971,"yyyy-mm"))</f>
        <v/>
      </c>
    </row>
    <row r="972">
      <c r="C972">
        <f>IF(B972="","",TEXT(B972,"yyyy-mm"))</f>
        <v/>
      </c>
    </row>
    <row r="973">
      <c r="C973">
        <f>IF(B973="","",TEXT(B973,"yyyy-mm"))</f>
        <v/>
      </c>
    </row>
    <row r="974">
      <c r="C974">
        <f>IF(B974="","",TEXT(B974,"yyyy-mm"))</f>
        <v/>
      </c>
    </row>
    <row r="975">
      <c r="C975">
        <f>IF(B975="","",TEXT(B975,"yyyy-mm"))</f>
        <v/>
      </c>
    </row>
    <row r="976">
      <c r="C976">
        <f>IF(B976="","",TEXT(B976,"yyyy-mm"))</f>
        <v/>
      </c>
    </row>
    <row r="977">
      <c r="C977">
        <f>IF(B977="","",TEXT(B977,"yyyy-mm"))</f>
        <v/>
      </c>
    </row>
    <row r="978">
      <c r="C978">
        <f>IF(B978="","",TEXT(B978,"yyyy-mm"))</f>
        <v/>
      </c>
    </row>
    <row r="979">
      <c r="C979">
        <f>IF(B979="","",TEXT(B979,"yyyy-mm"))</f>
        <v/>
      </c>
    </row>
    <row r="980">
      <c r="C980">
        <f>IF(B980="","",TEXT(B980,"yyyy-mm"))</f>
        <v/>
      </c>
    </row>
    <row r="981">
      <c r="C981">
        <f>IF(B981="","",TEXT(B981,"yyyy-mm"))</f>
        <v/>
      </c>
    </row>
    <row r="982">
      <c r="C982">
        <f>IF(B982="","",TEXT(B982,"yyyy-mm"))</f>
        <v/>
      </c>
    </row>
    <row r="983">
      <c r="C983">
        <f>IF(B983="","",TEXT(B983,"yyyy-mm"))</f>
        <v/>
      </c>
    </row>
    <row r="984">
      <c r="C984">
        <f>IF(B984="","",TEXT(B984,"yyyy-mm"))</f>
        <v/>
      </c>
    </row>
    <row r="985">
      <c r="C985">
        <f>IF(B985="","",TEXT(B985,"yyyy-mm"))</f>
        <v/>
      </c>
    </row>
    <row r="986">
      <c r="C986">
        <f>IF(B986="","",TEXT(B986,"yyyy-mm"))</f>
        <v/>
      </c>
    </row>
    <row r="987">
      <c r="C987">
        <f>IF(B987="","",TEXT(B987,"yyyy-mm"))</f>
        <v/>
      </c>
    </row>
    <row r="988">
      <c r="C988">
        <f>IF(B988="","",TEXT(B988,"yyyy-mm"))</f>
        <v/>
      </c>
    </row>
    <row r="989">
      <c r="C989">
        <f>IF(B989="","",TEXT(B989,"yyyy-mm"))</f>
        <v/>
      </c>
    </row>
    <row r="990">
      <c r="C990">
        <f>IF(B990="","",TEXT(B990,"yyyy-mm"))</f>
        <v/>
      </c>
    </row>
    <row r="991">
      <c r="C991">
        <f>IF(B991="","",TEXT(B991,"yyyy-mm"))</f>
        <v/>
      </c>
    </row>
    <row r="992">
      <c r="C992">
        <f>IF(B992="","",TEXT(B992,"yyyy-mm"))</f>
        <v/>
      </c>
    </row>
    <row r="993">
      <c r="C993">
        <f>IF(B993="","",TEXT(B993,"yyyy-mm"))</f>
        <v/>
      </c>
    </row>
    <row r="994">
      <c r="C994">
        <f>IF(B994="","",TEXT(B994,"yyyy-mm"))</f>
        <v/>
      </c>
    </row>
    <row r="995">
      <c r="C995">
        <f>IF(B995="","",TEXT(B995,"yyyy-mm"))</f>
        <v/>
      </c>
    </row>
    <row r="996">
      <c r="C996">
        <f>IF(B996="","",TEXT(B996,"yyyy-mm"))</f>
        <v/>
      </c>
    </row>
    <row r="997">
      <c r="C997">
        <f>IF(B997="","",TEXT(B997,"yyyy-mm"))</f>
        <v/>
      </c>
    </row>
    <row r="998">
      <c r="C998">
        <f>IF(B998="","",TEXT(B998,"yyyy-mm"))</f>
        <v/>
      </c>
    </row>
    <row r="999">
      <c r="C999">
        <f>IF(B999="","",TEXT(B999,"yyyy-mm"))</f>
        <v/>
      </c>
    </row>
    <row r="1000">
      <c r="C1000">
        <f>IF(B1000="","",TEXT(B1000,"yyyy-mm"))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categoriaId</t>
        </is>
      </c>
      <c r="B1" t="inlineStr">
        <is>
          <t>nombre</t>
        </is>
      </c>
      <c r="C1" t="inlineStr">
        <is>
          <t>presupuestoMensual</t>
        </is>
      </c>
      <c r="D1" t="inlineStr">
        <is>
          <t>tipoHabitual</t>
        </is>
      </c>
      <c r="E1" t="inlineStr">
        <is>
          <t>activo</t>
        </is>
      </c>
      <c r="F1" t="inlineStr">
        <is>
          <t>grupo</t>
        </is>
      </c>
      <c r="G1" t="inlineStr">
        <is>
          <t>color</t>
        </is>
      </c>
      <c r="H1" t="inlineStr">
        <is>
          <t>icono</t>
        </is>
      </c>
      <c r="I1" t="inlineStr">
        <is>
          <t>orden</t>
        </is>
      </c>
      <c r="J1" t="inlineStr">
        <is>
          <t>notas</t>
        </is>
      </c>
      <c r="K1" t="inlineStr">
        <is>
          <t>createdAt</t>
        </is>
      </c>
      <c r="L1" t="inlineStr">
        <is>
          <t>updatedAt</t>
        </is>
      </c>
    </row>
    <row r="2">
      <c r="A2" t="inlineStr">
        <is>
          <t>cat-ingresos</t>
        </is>
      </c>
      <c r="B2" t="inlineStr">
        <is>
          <t>Ingresos</t>
        </is>
      </c>
      <c r="C2" t="n">
        <v>0</v>
      </c>
      <c r="D2" t="inlineStr">
        <is>
          <t>Ingreso</t>
        </is>
      </c>
      <c r="E2" t="inlineStr">
        <is>
          <t>Sí</t>
        </is>
      </c>
      <c r="F2" t="inlineStr">
        <is>
          <t>Ingresos</t>
        </is>
      </c>
      <c r="G2" t="inlineStr">
        <is>
          <t>#16A34A</t>
        </is>
      </c>
      <c r="H2" t="inlineStr">
        <is>
          <t>💶</t>
        </is>
      </c>
      <c r="I2" t="n">
        <v>1</v>
      </c>
      <c r="J2" t="inlineStr">
        <is>
          <t>Categoría genérica para nómina u otros ingresos.</t>
        </is>
      </c>
    </row>
    <row r="3">
      <c r="A3" t="inlineStr">
        <is>
          <t>cat-supermercado</t>
        </is>
      </c>
      <c r="B3" t="inlineStr">
        <is>
          <t>Supermercado</t>
        </is>
      </c>
      <c r="C3" t="n">
        <v>170</v>
      </c>
      <c r="D3" t="inlineStr">
        <is>
          <t>Gasto</t>
        </is>
      </c>
      <c r="E3" t="inlineStr">
        <is>
          <t>Sí</t>
        </is>
      </c>
      <c r="F3" t="inlineStr">
        <is>
          <t>Vida diaria</t>
        </is>
      </c>
      <c r="G3" t="inlineStr">
        <is>
          <t>#2563EB</t>
        </is>
      </c>
      <c r="H3" t="inlineStr">
        <is>
          <t>🛒</t>
        </is>
      </c>
      <c r="I3" t="n">
        <v>10</v>
      </c>
      <c r="J3" t="inlineStr">
        <is>
          <t>Compra de comida y básicos.</t>
        </is>
      </c>
    </row>
    <row r="4">
      <c r="A4" t="inlineStr">
        <is>
          <t>cat-restauracion</t>
        </is>
      </c>
      <c r="B4" t="inlineStr">
        <is>
          <t>Restauración</t>
        </is>
      </c>
      <c r="C4" t="n">
        <v>80</v>
      </c>
      <c r="D4" t="inlineStr">
        <is>
          <t>Gasto</t>
        </is>
      </c>
      <c r="E4" t="inlineStr">
        <is>
          <t>Sí</t>
        </is>
      </c>
      <c r="F4" t="inlineStr">
        <is>
          <t>Ocio</t>
        </is>
      </c>
      <c r="G4" t="inlineStr">
        <is>
          <t>#F97316</t>
        </is>
      </c>
      <c r="H4" t="inlineStr">
        <is>
          <t>🍽️</t>
        </is>
      </c>
      <c r="I4" t="n">
        <v>20</v>
      </c>
      <c r="J4" t="inlineStr">
        <is>
          <t>Bares, restaurantes, comida fuera.</t>
        </is>
      </c>
    </row>
    <row r="5">
      <c r="A5" t="inlineStr">
        <is>
          <t>cat-gasolina</t>
        </is>
      </c>
      <c r="B5" t="inlineStr">
        <is>
          <t>Gasolina</t>
        </is>
      </c>
      <c r="C5" t="n">
        <v>120</v>
      </c>
      <c r="D5" t="inlineStr">
        <is>
          <t>Gasto</t>
        </is>
      </c>
      <c r="E5" t="inlineStr">
        <is>
          <t>Sí</t>
        </is>
      </c>
      <c r="F5" t="inlineStr">
        <is>
          <t>Vehículos</t>
        </is>
      </c>
      <c r="G5" t="inlineStr">
        <is>
          <t>#DC2626</t>
        </is>
      </c>
      <c r="H5" t="inlineStr">
        <is>
          <t>⛽</t>
        </is>
      </c>
      <c r="I5" t="n">
        <v>30</v>
      </c>
      <c r="J5" t="inlineStr">
        <is>
          <t>Combustible.</t>
        </is>
      </c>
    </row>
    <row r="6">
      <c r="A6" t="inlineStr">
        <is>
          <t>cat-ocio</t>
        </is>
      </c>
      <c r="B6" t="inlineStr">
        <is>
          <t>Ocio</t>
        </is>
      </c>
      <c r="C6" t="n">
        <v>60</v>
      </c>
      <c r="D6" t="inlineStr">
        <is>
          <t>Gasto</t>
        </is>
      </c>
      <c r="E6" t="inlineStr">
        <is>
          <t>Sí</t>
        </is>
      </c>
      <c r="F6" t="inlineStr">
        <is>
          <t>Ocio</t>
        </is>
      </c>
      <c r="G6" t="inlineStr">
        <is>
          <t>#9333EA</t>
        </is>
      </c>
      <c r="H6" t="inlineStr">
        <is>
          <t>🎮</t>
        </is>
      </c>
      <c r="I6" t="n">
        <v>40</v>
      </c>
      <c r="J6" t="inlineStr">
        <is>
          <t>Planes, entretenimiento y ocio.</t>
        </is>
      </c>
    </row>
    <row r="7">
      <c r="A7" t="inlineStr">
        <is>
          <t>cat-estetica</t>
        </is>
      </c>
      <c r="B7" t="inlineStr">
        <is>
          <t>Estética</t>
        </is>
      </c>
      <c r="C7" t="n">
        <v>50</v>
      </c>
      <c r="D7" t="inlineStr">
        <is>
          <t>Gasto</t>
        </is>
      </c>
      <c r="E7" t="inlineStr">
        <is>
          <t>Sí</t>
        </is>
      </c>
      <c r="F7" t="inlineStr">
        <is>
          <t>Personal</t>
        </is>
      </c>
      <c r="G7" t="inlineStr">
        <is>
          <t>#EC4899</t>
        </is>
      </c>
      <c r="H7" t="inlineStr">
        <is>
          <t>✂️</t>
        </is>
      </c>
      <c r="I7" t="n">
        <v>50</v>
      </c>
      <c r="J7" t="inlineStr">
        <is>
          <t>Peluquería, estética, perfumes.</t>
        </is>
      </c>
    </row>
    <row r="8">
      <c r="A8" t="inlineStr">
        <is>
          <t>cat-mecanica</t>
        </is>
      </c>
      <c r="B8" t="inlineStr">
        <is>
          <t>Mecánica</t>
        </is>
      </c>
      <c r="C8" t="n">
        <v>50</v>
      </c>
      <c r="D8" t="inlineStr">
        <is>
          <t>Gasto</t>
        </is>
      </c>
      <c r="E8" t="inlineStr">
        <is>
          <t>Sí</t>
        </is>
      </c>
      <c r="F8" t="inlineStr">
        <is>
          <t>Vehículos</t>
        </is>
      </c>
      <c r="G8" t="inlineStr">
        <is>
          <t>#64748B</t>
        </is>
      </c>
      <c r="H8" t="inlineStr">
        <is>
          <t>🔧</t>
        </is>
      </c>
      <c r="I8" t="n">
        <v>60</v>
      </c>
      <c r="J8" t="inlineStr">
        <is>
          <t>Mantenimiento y pequeñas reparaciones.</t>
        </is>
      </c>
    </row>
    <row r="9">
      <c r="A9" t="inlineStr">
        <is>
          <t>cat-seguros</t>
        </is>
      </c>
      <c r="B9" t="inlineStr">
        <is>
          <t>Seguros</t>
        </is>
      </c>
      <c r="C9" t="n">
        <v>0</v>
      </c>
      <c r="D9" t="inlineStr">
        <is>
          <t>Gasto</t>
        </is>
      </c>
      <c r="E9" t="inlineStr">
        <is>
          <t>Sí</t>
        </is>
      </c>
      <c r="F9" t="inlineStr">
        <is>
          <t>Gastos futuros</t>
        </is>
      </c>
      <c r="G9" t="inlineStr">
        <is>
          <t>#0F766E</t>
        </is>
      </c>
      <c r="H9" t="inlineStr">
        <is>
          <t>🛡️</t>
        </is>
      </c>
      <c r="I9" t="n">
        <v>70</v>
      </c>
      <c r="J9" t="inlineStr">
        <is>
          <t>Seguros anuales/fraccionados.</t>
        </is>
      </c>
    </row>
    <row r="10">
      <c r="A10" t="inlineStr">
        <is>
          <t>cat-ahorro</t>
        </is>
      </c>
      <c r="B10" t="inlineStr">
        <is>
          <t>Ahorro</t>
        </is>
      </c>
      <c r="C10" t="n">
        <v>0</v>
      </c>
      <c r="D10" t="inlineStr">
        <is>
          <t>Ahorro</t>
        </is>
      </c>
      <c r="E10" t="inlineStr">
        <is>
          <t>Sí</t>
        </is>
      </c>
      <c r="F10" t="inlineStr">
        <is>
          <t>Ahorro</t>
        </is>
      </c>
      <c r="G10" t="inlineStr">
        <is>
          <t>#0891B2</t>
        </is>
      </c>
      <c r="H10" t="inlineStr">
        <is>
          <t>🏦</t>
        </is>
      </c>
      <c r="I10" t="n">
        <v>80</v>
      </c>
      <c r="J10" t="inlineStr">
        <is>
          <t>Ahorro directo a colchón, objetivos o reservas.</t>
        </is>
      </c>
    </row>
    <row r="11">
      <c r="A11" t="inlineStr">
        <is>
          <t>cat-imprevistos</t>
        </is>
      </c>
      <c r="B11" t="inlineStr">
        <is>
          <t>Imprevistos</t>
        </is>
      </c>
      <c r="C11" t="n">
        <v>0</v>
      </c>
      <c r="D11" t="inlineStr">
        <is>
          <t>Gasto</t>
        </is>
      </c>
      <c r="E11" t="inlineStr">
        <is>
          <t>Sí</t>
        </is>
      </c>
      <c r="F11" t="inlineStr">
        <is>
          <t>Imprevistos</t>
        </is>
      </c>
      <c r="G11" t="inlineStr">
        <is>
          <t>#B45309</t>
        </is>
      </c>
      <c r="H11" t="inlineStr">
        <is>
          <t>⚠️</t>
        </is>
      </c>
      <c r="I11" t="n">
        <v>90</v>
      </c>
      <c r="J11" t="inlineStr">
        <is>
          <t>Cubrir desde reserva, no como gasto normal.</t>
        </is>
      </c>
    </row>
    <row r="12">
      <c r="A12" t="inlineStr">
        <is>
          <t>cat-otros</t>
        </is>
      </c>
      <c r="B12" t="inlineStr">
        <is>
          <t>Otros</t>
        </is>
      </c>
      <c r="C12" t="n">
        <v>50</v>
      </c>
      <c r="D12" t="inlineStr">
        <is>
          <t>Gasto</t>
        </is>
      </c>
      <c r="E12" t="inlineStr">
        <is>
          <t>Sí</t>
        </is>
      </c>
      <c r="F12" t="inlineStr">
        <is>
          <t>Otros</t>
        </is>
      </c>
      <c r="G12" t="inlineStr">
        <is>
          <t>#6B7280</t>
        </is>
      </c>
      <c r="H12" t="inlineStr">
        <is>
          <t>📦</t>
        </is>
      </c>
      <c r="I12" t="n">
        <v>100</v>
      </c>
      <c r="J12" t="inlineStr">
        <is>
          <t>Categoría comodín.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cuentaId</t>
        </is>
      </c>
      <c r="B1" t="inlineStr">
        <is>
          <t>nombre</t>
        </is>
      </c>
      <c r="C1" t="inlineStr">
        <is>
          <t>tipo</t>
        </is>
      </c>
      <c r="D1" t="inlineStr">
        <is>
          <t>rol</t>
        </is>
      </c>
      <c r="E1" t="inlineStr">
        <is>
          <t>moneda</t>
        </is>
      </c>
      <c r="F1" t="inlineStr">
        <is>
          <t>saldoInicial</t>
        </is>
      </c>
      <c r="G1" t="inlineStr">
        <is>
          <t>saldoActualManual</t>
        </is>
      </c>
      <c r="H1" t="inlineStr">
        <is>
          <t>incluirDashboard</t>
        </is>
      </c>
      <c r="I1" t="inlineStr">
        <is>
          <t>activo</t>
        </is>
      </c>
      <c r="J1" t="inlineStr">
        <is>
          <t>color</t>
        </is>
      </c>
      <c r="K1" t="inlineStr">
        <is>
          <t>notas</t>
        </is>
      </c>
      <c r="L1" t="inlineStr">
        <is>
          <t>createdAt</t>
        </is>
      </c>
      <c r="M1" t="inlineStr">
        <is>
          <t>updatedAt</t>
        </is>
      </c>
    </row>
    <row r="2">
      <c r="A2" t="inlineStr">
        <is>
          <t>cta-principal</t>
        </is>
      </c>
      <c r="B2" t="inlineStr">
        <is>
          <t>Cuenta principal</t>
        </is>
      </c>
      <c r="C2" t="inlineStr">
        <is>
          <t>Banco</t>
        </is>
      </c>
      <c r="D2" t="inlineStr">
        <is>
          <t>general</t>
        </is>
      </c>
      <c r="E2" t="inlineStr">
        <is>
          <t>EUR</t>
        </is>
      </c>
      <c r="F2" t="n">
        <v>0</v>
      </c>
      <c r="G2" t="n">
        <v>0</v>
      </c>
      <c r="H2" t="inlineStr">
        <is>
          <t>Sí</t>
        </is>
      </c>
      <c r="I2" t="inlineStr">
        <is>
          <t>Sí</t>
        </is>
      </c>
      <c r="J2" t="inlineStr">
        <is>
          <t>#2563EB</t>
        </is>
      </c>
      <c r="K2" t="inlineStr">
        <is>
          <t>Cuenta donde entra la nómina o ingreso principal.</t>
        </is>
      </c>
    </row>
    <row r="3">
      <c r="A3" t="inlineStr">
        <is>
          <t>cta-secundaria</t>
        </is>
      </c>
      <c r="B3" t="inlineStr">
        <is>
          <t>Cuenta secundaria</t>
        </is>
      </c>
      <c r="C3" t="inlineStr">
        <is>
          <t>Banco</t>
        </is>
      </c>
      <c r="D3" t="inlineStr">
        <is>
          <t>diario</t>
        </is>
      </c>
      <c r="E3" t="inlineStr">
        <is>
          <t>EUR</t>
        </is>
      </c>
      <c r="F3" t="n">
        <v>0</v>
      </c>
      <c r="G3" t="n">
        <v>0</v>
      </c>
      <c r="H3" t="inlineStr">
        <is>
          <t>Sí</t>
        </is>
      </c>
      <c r="I3" t="inlineStr">
        <is>
          <t>Sí</t>
        </is>
      </c>
      <c r="J3" t="inlineStr">
        <is>
          <t>#0EA5E9</t>
        </is>
      </c>
      <c r="K3" t="inlineStr">
        <is>
          <t>Cuenta alternativa, tarjeta o banco secundario.</t>
        </is>
      </c>
    </row>
    <row r="4">
      <c r="A4" t="inlineStr">
        <is>
          <t>cta-efectivo</t>
        </is>
      </c>
      <c r="B4" t="inlineStr">
        <is>
          <t>Efectivo</t>
        </is>
      </c>
      <c r="C4" t="inlineStr">
        <is>
          <t>Efectivo</t>
        </is>
      </c>
      <c r="D4" t="inlineStr">
        <is>
          <t>diario</t>
        </is>
      </c>
      <c r="E4" t="inlineStr">
        <is>
          <t>EUR</t>
        </is>
      </c>
      <c r="F4" t="n">
        <v>0</v>
      </c>
      <c r="G4" t="n">
        <v>0</v>
      </c>
      <c r="H4" t="inlineStr">
        <is>
          <t>Sí</t>
        </is>
      </c>
      <c r="I4" t="inlineStr">
        <is>
          <t>Sí</t>
        </is>
      </c>
      <c r="J4" t="inlineStr">
        <is>
          <t>#65A30D</t>
        </is>
      </c>
      <c r="K4" t="inlineStr">
        <is>
          <t>Dinero en efectivo.</t>
        </is>
      </c>
    </row>
    <row r="5">
      <c r="A5" t="inlineStr">
        <is>
          <t>cta-reserva</t>
        </is>
      </c>
      <c r="B5" t="inlineStr">
        <is>
          <t>Reserva virtual</t>
        </is>
      </c>
      <c r="C5" t="inlineStr">
        <is>
          <t>Virtual</t>
        </is>
      </c>
      <c r="D5" t="inlineStr">
        <is>
          <t>diario</t>
        </is>
      </c>
      <c r="E5" t="inlineStr">
        <is>
          <t>EUR</t>
        </is>
      </c>
      <c r="F5" t="n">
        <v>0</v>
      </c>
      <c r="G5" t="n">
        <v>0</v>
      </c>
      <c r="H5" t="inlineStr">
        <is>
          <t>Sí</t>
        </is>
      </c>
      <c r="I5" t="inlineStr">
        <is>
          <t>Sí</t>
        </is>
      </c>
      <c r="J5" t="inlineStr">
        <is>
          <t>#9333EA</t>
        </is>
      </c>
      <c r="K5" t="inlineStr">
        <is>
          <t>Bolsillo virtual para reservas/ahorro.</t>
        </is>
      </c>
    </row>
    <row r="6">
      <c r="A6" t="inlineStr">
        <is>
          <t>cta-ahorro</t>
        </is>
      </c>
      <c r="B6" t="inlineStr">
        <is>
          <t>Cuenta de ahorro</t>
        </is>
      </c>
      <c r="C6" t="inlineStr">
        <is>
          <t>Banco</t>
        </is>
      </c>
      <c r="D6" t="inlineStr">
        <is>
          <t>ahorro</t>
        </is>
      </c>
      <c r="E6" t="inlineStr">
        <is>
          <t>EUR</t>
        </is>
      </c>
      <c r="F6" t="n">
        <v>0</v>
      </c>
      <c r="G6" t="n">
        <v>0</v>
      </c>
      <c r="H6" t="inlineStr">
        <is>
          <t>No</t>
        </is>
      </c>
      <c r="I6" t="inlineStr">
        <is>
          <t>Si</t>
        </is>
      </c>
      <c r="J6" t="inlineStr">
        <is>
          <t>#10B981</t>
        </is>
      </c>
      <c r="K6" t="inlineStr">
        <is>
          <t>Cuenta donde se reservan los ahorros. Aparece en el libro de ahorro.</t>
        </is>
      </c>
      <c r="L6" t="inlineStr"/>
      <c r="M6" t="inlineStr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fijoId</t>
        </is>
      </c>
      <c r="B1" t="inlineStr">
        <is>
          <t>concepto</t>
        </is>
      </c>
      <c r="C1" t="inlineStr">
        <is>
          <t>categoria</t>
        </is>
      </c>
      <c r="D1" t="inlineStr">
        <is>
          <t>importe</t>
        </is>
      </c>
      <c r="E1" t="inlineStr">
        <is>
          <t>frecuencia</t>
        </is>
      </c>
      <c r="F1" t="inlineStr">
        <is>
          <t>diaCargo</t>
        </is>
      </c>
      <c r="G1" t="inlineStr">
        <is>
          <t>cuentaOrigen</t>
        </is>
      </c>
      <c r="H1" t="inlineStr">
        <is>
          <t>activo</t>
        </is>
      </c>
      <c r="I1" t="inlineStr">
        <is>
          <t>fechaInicio</t>
        </is>
      </c>
      <c r="J1" t="inlineStr">
        <is>
          <t>fechaFin</t>
        </is>
      </c>
      <c r="K1" t="inlineStr">
        <is>
          <t>notas</t>
        </is>
      </c>
      <c r="L1" t="inlineStr">
        <is>
          <t>createdAt</t>
        </is>
      </c>
      <c r="M1" t="inlineStr">
        <is>
          <t>updatedAt</t>
        </is>
      </c>
    </row>
    <row r="2">
      <c r="A2" t="inlineStr">
        <is>
          <t>fijo-ejemplo</t>
        </is>
      </c>
      <c r="B2" t="inlineStr">
        <is>
          <t>Ejemplo: suscripción</t>
        </is>
      </c>
      <c r="C2" t="inlineStr">
        <is>
          <t>Otros</t>
        </is>
      </c>
      <c r="D2" t="n">
        <v>0</v>
      </c>
      <c r="E2" t="inlineStr">
        <is>
          <t>Mensual</t>
        </is>
      </c>
      <c r="F2" t="n">
        <v>1</v>
      </c>
      <c r="G2" t="inlineStr">
        <is>
          <t>Cuenta principal</t>
        </is>
      </c>
      <c r="H2" t="inlineStr">
        <is>
          <t>No</t>
        </is>
      </c>
      <c r="K2" t="inlineStr">
        <is>
          <t>Desactiva o edita este ejemplo.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pagoId</t>
        </is>
      </c>
      <c r="B1" t="inlineStr">
        <is>
          <t>concepto</t>
        </is>
      </c>
      <c r="C1" t="inlineStr">
        <is>
          <t>categoria</t>
        </is>
      </c>
      <c r="D1" t="inlineStr">
        <is>
          <t>importeObjetivo</t>
        </is>
      </c>
      <c r="E1" t="inlineStr">
        <is>
          <t>fechaVencimiento</t>
        </is>
      </c>
      <c r="F1" t="inlineStr">
        <is>
          <t>frecuencia</t>
        </is>
      </c>
      <c r="G1" t="inlineStr">
        <is>
          <t>cuentaReserva</t>
        </is>
      </c>
      <c r="H1" t="inlineStr">
        <is>
          <t>activo</t>
        </is>
      </c>
      <c r="I1" t="inlineStr">
        <is>
          <t>saldoReservado</t>
        </is>
      </c>
      <c r="J1" t="inlineStr">
        <is>
          <t>mesesRestantes</t>
        </is>
      </c>
      <c r="K1" t="inlineStr">
        <is>
          <t>aporteMensual</t>
        </is>
      </c>
      <c r="L1" t="inlineStr">
        <is>
          <t>notas</t>
        </is>
      </c>
      <c r="M1" t="inlineStr">
        <is>
          <t>createdAt</t>
        </is>
      </c>
      <c r="N1" t="inlineStr">
        <is>
          <t>updatedAt</t>
        </is>
      </c>
    </row>
    <row r="2">
      <c r="A2" t="inlineStr">
        <is>
          <t>pf-seguro-coche</t>
        </is>
      </c>
      <c r="B2" t="inlineStr">
        <is>
          <t>Ejemplo: seguro coche</t>
        </is>
      </c>
      <c r="C2" t="inlineStr">
        <is>
          <t>Seguros</t>
        </is>
      </c>
      <c r="D2" t="n">
        <v>0</v>
      </c>
      <c r="F2" t="inlineStr">
        <is>
          <t>Anual</t>
        </is>
      </c>
      <c r="G2" t="inlineStr">
        <is>
          <t>Reserva virtual</t>
        </is>
      </c>
      <c r="H2" t="inlineStr">
        <is>
          <t>No</t>
        </is>
      </c>
      <c r="I2" t="n">
        <v>0</v>
      </c>
      <c r="J2">
        <f>IFERROR(IF(OR(E2="",H2&lt;&gt;"Sí"),"",MAX(1,DATEDIF(TODAY(),E2,"M")+1)),"")</f>
        <v/>
      </c>
      <c r="K2">
        <f>IFERROR(IF(OR(H2&lt;&gt;"Sí",D2&lt;=0,J2=""),"",MAX(0,D2-I2)/J2),"")</f>
        <v/>
      </c>
      <c r="L2" t="inlineStr">
        <is>
          <t>Reparte pagos grandes para que no rompan el mes.</t>
        </is>
      </c>
    </row>
    <row r="3">
      <c r="J3">
        <f>IFERROR(IF(OR(E3="",H3&lt;&gt;"Sí"),"",MAX(1,DATEDIF(TODAY(),E3,"M")+1)),"")</f>
        <v/>
      </c>
      <c r="K3">
        <f>IFERROR(IF(OR(H3&lt;&gt;"Sí",D3&lt;=0,J3=""),"",MAX(0,D3-I3)/J3),"")</f>
        <v/>
      </c>
    </row>
    <row r="4">
      <c r="J4">
        <f>IFERROR(IF(OR(E4="",H4&lt;&gt;"Sí"),"",MAX(1,DATEDIF(TODAY(),E4,"M")+1)),"")</f>
        <v/>
      </c>
      <c r="K4">
        <f>IFERROR(IF(OR(H4&lt;&gt;"Sí",D4&lt;=0,J4=""),"",MAX(0,D4-I4)/J4),"")</f>
        <v/>
      </c>
    </row>
    <row r="5">
      <c r="J5">
        <f>IFERROR(IF(OR(E5="",H5&lt;&gt;"Sí"),"",MAX(1,DATEDIF(TODAY(),E5,"M")+1)),"")</f>
        <v/>
      </c>
      <c r="K5">
        <f>IFERROR(IF(OR(H5&lt;&gt;"Sí",D5&lt;=0,J5=""),"",MAX(0,D5-I5)/J5),"")</f>
        <v/>
      </c>
    </row>
    <row r="6">
      <c r="J6">
        <f>IFERROR(IF(OR(E6="",H6&lt;&gt;"Sí"),"",MAX(1,DATEDIF(TODAY(),E6,"M")+1)),"")</f>
        <v/>
      </c>
      <c r="K6">
        <f>IFERROR(IF(OR(H6&lt;&gt;"Sí",D6&lt;=0,J6=""),"",MAX(0,D6-I6)/J6),"")</f>
        <v/>
      </c>
    </row>
    <row r="7">
      <c r="J7">
        <f>IFERROR(IF(OR(E7="",H7&lt;&gt;"Sí"),"",MAX(1,DATEDIF(TODAY(),E7,"M")+1)),"")</f>
        <v/>
      </c>
      <c r="K7">
        <f>IFERROR(IF(OR(H7&lt;&gt;"Sí",D7&lt;=0,J7=""),"",MAX(0,D7-I7)/J7),"")</f>
        <v/>
      </c>
    </row>
    <row r="8">
      <c r="J8">
        <f>IFERROR(IF(OR(E8="",H8&lt;&gt;"Sí"),"",MAX(1,DATEDIF(TODAY(),E8,"M")+1)),"")</f>
        <v/>
      </c>
      <c r="K8">
        <f>IFERROR(IF(OR(H8&lt;&gt;"Sí",D8&lt;=0,J8=""),"",MAX(0,D8-I8)/J8),"")</f>
        <v/>
      </c>
    </row>
    <row r="9">
      <c r="J9">
        <f>IFERROR(IF(OR(E9="",H9&lt;&gt;"Sí"),"",MAX(1,DATEDIF(TODAY(),E9,"M")+1)),"")</f>
        <v/>
      </c>
      <c r="K9">
        <f>IFERROR(IF(OR(H9&lt;&gt;"Sí",D9&lt;=0,J9=""),"",MAX(0,D9-I9)/J9),"")</f>
        <v/>
      </c>
    </row>
    <row r="10">
      <c r="J10">
        <f>IFERROR(IF(OR(E10="",H10&lt;&gt;"Sí"),"",MAX(1,DATEDIF(TODAY(),E10,"M")+1)),"")</f>
        <v/>
      </c>
      <c r="K10">
        <f>IFERROR(IF(OR(H10&lt;&gt;"Sí",D10&lt;=0,J10=""),"",MAX(0,D10-I10)/J10),"")</f>
        <v/>
      </c>
    </row>
    <row r="11">
      <c r="J11">
        <f>IFERROR(IF(OR(E11="",H11&lt;&gt;"Sí"),"",MAX(1,DATEDIF(TODAY(),E11,"M")+1)),"")</f>
        <v/>
      </c>
      <c r="K11">
        <f>IFERROR(IF(OR(H11&lt;&gt;"Sí",D11&lt;=0,J11=""),"",MAX(0,D11-I11)/J11),"")</f>
        <v/>
      </c>
    </row>
    <row r="12">
      <c r="J12">
        <f>IFERROR(IF(OR(E12="",H12&lt;&gt;"Sí"),"",MAX(1,DATEDIF(TODAY(),E12,"M")+1)),"")</f>
        <v/>
      </c>
      <c r="K12">
        <f>IFERROR(IF(OR(H12&lt;&gt;"Sí",D12&lt;=0,J12=""),"",MAX(0,D12-I12)/J12),"")</f>
        <v/>
      </c>
    </row>
    <row r="13">
      <c r="J13">
        <f>IFERROR(IF(OR(E13="",H13&lt;&gt;"Sí"),"",MAX(1,DATEDIF(TODAY(),E13,"M")+1)),"")</f>
        <v/>
      </c>
      <c r="K13">
        <f>IFERROR(IF(OR(H13&lt;&gt;"Sí",D13&lt;=0,J13=""),"",MAX(0,D13-I13)/J13),"")</f>
        <v/>
      </c>
    </row>
    <row r="14">
      <c r="J14">
        <f>IFERROR(IF(OR(E14="",H14&lt;&gt;"Sí"),"",MAX(1,DATEDIF(TODAY(),E14,"M")+1)),"")</f>
        <v/>
      </c>
      <c r="K14">
        <f>IFERROR(IF(OR(H14&lt;&gt;"Sí",D14&lt;=0,J14=""),"",MAX(0,D14-I14)/J14),"")</f>
        <v/>
      </c>
    </row>
    <row r="15">
      <c r="J15">
        <f>IFERROR(IF(OR(E15="",H15&lt;&gt;"Sí"),"",MAX(1,DATEDIF(TODAY(),E15,"M")+1)),"")</f>
        <v/>
      </c>
      <c r="K15">
        <f>IFERROR(IF(OR(H15&lt;&gt;"Sí",D15&lt;=0,J15=""),"",MAX(0,D15-I15)/J15),"")</f>
        <v/>
      </c>
    </row>
    <row r="16">
      <c r="J16">
        <f>IFERROR(IF(OR(E16="",H16&lt;&gt;"Sí"),"",MAX(1,DATEDIF(TODAY(),E16,"M")+1)),"")</f>
        <v/>
      </c>
      <c r="K16">
        <f>IFERROR(IF(OR(H16&lt;&gt;"Sí",D16&lt;=0,J16=""),"",MAX(0,D16-I16)/J16),"")</f>
        <v/>
      </c>
    </row>
    <row r="17">
      <c r="J17">
        <f>IFERROR(IF(OR(E17="",H17&lt;&gt;"Sí"),"",MAX(1,DATEDIF(TODAY(),E17,"M")+1)),"")</f>
        <v/>
      </c>
      <c r="K17">
        <f>IFERROR(IF(OR(H17&lt;&gt;"Sí",D17&lt;=0,J17=""),"",MAX(0,D17-I17)/J17),"")</f>
        <v/>
      </c>
    </row>
    <row r="18">
      <c r="J18">
        <f>IFERROR(IF(OR(E18="",H18&lt;&gt;"Sí"),"",MAX(1,DATEDIF(TODAY(),E18,"M")+1)),"")</f>
        <v/>
      </c>
      <c r="K18">
        <f>IFERROR(IF(OR(H18&lt;&gt;"Sí",D18&lt;=0,J18=""),"",MAX(0,D18-I18)/J18),"")</f>
        <v/>
      </c>
    </row>
    <row r="19">
      <c r="J19">
        <f>IFERROR(IF(OR(E19="",H19&lt;&gt;"Sí"),"",MAX(1,DATEDIF(TODAY(),E19,"M")+1)),"")</f>
        <v/>
      </c>
      <c r="K19">
        <f>IFERROR(IF(OR(H19&lt;&gt;"Sí",D19&lt;=0,J19=""),"",MAX(0,D19-I19)/J19),"")</f>
        <v/>
      </c>
    </row>
    <row r="20">
      <c r="J20">
        <f>IFERROR(IF(OR(E20="",H20&lt;&gt;"Sí"),"",MAX(1,DATEDIF(TODAY(),E20,"M")+1)),"")</f>
        <v/>
      </c>
      <c r="K20">
        <f>IFERROR(IF(OR(H20&lt;&gt;"Sí",D20&lt;=0,J20=""),"",MAX(0,D20-I20)/J20),"")</f>
        <v/>
      </c>
    </row>
    <row r="21">
      <c r="J21">
        <f>IFERROR(IF(OR(E21="",H21&lt;&gt;"Sí"),"",MAX(1,DATEDIF(TODAY(),E21,"M")+1)),"")</f>
        <v/>
      </c>
      <c r="K21">
        <f>IFERROR(IF(OR(H21&lt;&gt;"Sí",D21&lt;=0,J21=""),"",MAX(0,D21-I21)/J21),"")</f>
        <v/>
      </c>
    </row>
    <row r="22">
      <c r="J22">
        <f>IFERROR(IF(OR(E22="",H22&lt;&gt;"Sí"),"",MAX(1,DATEDIF(TODAY(),E22,"M")+1)),"")</f>
        <v/>
      </c>
      <c r="K22">
        <f>IFERROR(IF(OR(H22&lt;&gt;"Sí",D22&lt;=0,J22=""),"",MAX(0,D22-I22)/J22),"")</f>
        <v/>
      </c>
    </row>
    <row r="23">
      <c r="J23">
        <f>IFERROR(IF(OR(E23="",H23&lt;&gt;"Sí"),"",MAX(1,DATEDIF(TODAY(),E23,"M")+1)),"")</f>
        <v/>
      </c>
      <c r="K23">
        <f>IFERROR(IF(OR(H23&lt;&gt;"Sí",D23&lt;=0,J23=""),"",MAX(0,D23-I23)/J23),"")</f>
        <v/>
      </c>
    </row>
    <row r="24">
      <c r="J24">
        <f>IFERROR(IF(OR(E24="",H24&lt;&gt;"Sí"),"",MAX(1,DATEDIF(TODAY(),E24,"M")+1)),"")</f>
        <v/>
      </c>
      <c r="K24">
        <f>IFERROR(IF(OR(H24&lt;&gt;"Sí",D24&lt;=0,J24=""),"",MAX(0,D24-I24)/J24),"")</f>
        <v/>
      </c>
    </row>
    <row r="25">
      <c r="J25">
        <f>IFERROR(IF(OR(E25="",H25&lt;&gt;"Sí"),"",MAX(1,DATEDIF(TODAY(),E25,"M")+1)),"")</f>
        <v/>
      </c>
      <c r="K25">
        <f>IFERROR(IF(OR(H25&lt;&gt;"Sí",D25&lt;=0,J25=""),"",MAX(0,D25-I25)/J25),"")</f>
        <v/>
      </c>
    </row>
    <row r="26">
      <c r="J26">
        <f>IFERROR(IF(OR(E26="",H26&lt;&gt;"Sí"),"",MAX(1,DATEDIF(TODAY(),E26,"M")+1)),"")</f>
        <v/>
      </c>
      <c r="K26">
        <f>IFERROR(IF(OR(H26&lt;&gt;"Sí",D26&lt;=0,J26=""),"",MAX(0,D26-I26)/J26),"")</f>
        <v/>
      </c>
    </row>
    <row r="27">
      <c r="J27">
        <f>IFERROR(IF(OR(E27="",H27&lt;&gt;"Sí"),"",MAX(1,DATEDIF(TODAY(),E27,"M")+1)),"")</f>
        <v/>
      </c>
      <c r="K27">
        <f>IFERROR(IF(OR(H27&lt;&gt;"Sí",D27&lt;=0,J27=""),"",MAX(0,D27-I27)/J27),"")</f>
        <v/>
      </c>
    </row>
    <row r="28">
      <c r="J28">
        <f>IFERROR(IF(OR(E28="",H28&lt;&gt;"Sí"),"",MAX(1,DATEDIF(TODAY(),E28,"M")+1)),"")</f>
        <v/>
      </c>
      <c r="K28">
        <f>IFERROR(IF(OR(H28&lt;&gt;"Sí",D28&lt;=0,J28=""),"",MAX(0,D28-I28)/J28),"")</f>
        <v/>
      </c>
    </row>
    <row r="29">
      <c r="J29">
        <f>IFERROR(IF(OR(E29="",H29&lt;&gt;"Sí"),"",MAX(1,DATEDIF(TODAY(),E29,"M")+1)),"")</f>
        <v/>
      </c>
      <c r="K29">
        <f>IFERROR(IF(OR(H29&lt;&gt;"Sí",D29&lt;=0,J29=""),"",MAX(0,D29-I29)/J29),"")</f>
        <v/>
      </c>
    </row>
    <row r="30">
      <c r="J30">
        <f>IFERROR(IF(OR(E30="",H30&lt;&gt;"Sí"),"",MAX(1,DATEDIF(TODAY(),E30,"M")+1)),"")</f>
        <v/>
      </c>
      <c r="K30">
        <f>IFERROR(IF(OR(H30&lt;&gt;"Sí",D30&lt;=0,J30=""),"",MAX(0,D30-I30)/J30),"")</f>
        <v/>
      </c>
    </row>
    <row r="31">
      <c r="J31">
        <f>IFERROR(IF(OR(E31="",H31&lt;&gt;"Sí"),"",MAX(1,DATEDIF(TODAY(),E31,"M")+1)),"")</f>
        <v/>
      </c>
      <c r="K31">
        <f>IFERROR(IF(OR(H31&lt;&gt;"Sí",D31&lt;=0,J31=""),"",MAX(0,D31-I31)/J31),"")</f>
        <v/>
      </c>
    </row>
    <row r="32">
      <c r="J32">
        <f>IFERROR(IF(OR(E32="",H32&lt;&gt;"Sí"),"",MAX(1,DATEDIF(TODAY(),E32,"M")+1)),"")</f>
        <v/>
      </c>
      <c r="K32">
        <f>IFERROR(IF(OR(H32&lt;&gt;"Sí",D32&lt;=0,J32=""),"",MAX(0,D32-I32)/J32),"")</f>
        <v/>
      </c>
    </row>
    <row r="33">
      <c r="J33">
        <f>IFERROR(IF(OR(E33="",H33&lt;&gt;"Sí"),"",MAX(1,DATEDIF(TODAY(),E33,"M")+1)),"")</f>
        <v/>
      </c>
      <c r="K33">
        <f>IFERROR(IF(OR(H33&lt;&gt;"Sí",D33&lt;=0,J33=""),"",MAX(0,D33-I33)/J33),"")</f>
        <v/>
      </c>
    </row>
    <row r="34">
      <c r="J34">
        <f>IFERROR(IF(OR(E34="",H34&lt;&gt;"Sí"),"",MAX(1,DATEDIF(TODAY(),E34,"M")+1)),"")</f>
        <v/>
      </c>
      <c r="K34">
        <f>IFERROR(IF(OR(H34&lt;&gt;"Sí",D34&lt;=0,J34=""),"",MAX(0,D34-I34)/J34),"")</f>
        <v/>
      </c>
    </row>
    <row r="35">
      <c r="J35">
        <f>IFERROR(IF(OR(E35="",H35&lt;&gt;"Sí"),"",MAX(1,DATEDIF(TODAY(),E35,"M")+1)),"")</f>
        <v/>
      </c>
      <c r="K35">
        <f>IFERROR(IF(OR(H35&lt;&gt;"Sí",D35&lt;=0,J35=""),"",MAX(0,D35-I35)/J35),"")</f>
        <v/>
      </c>
    </row>
    <row r="36">
      <c r="J36">
        <f>IFERROR(IF(OR(E36="",H36&lt;&gt;"Sí"),"",MAX(1,DATEDIF(TODAY(),E36,"M")+1)),"")</f>
        <v/>
      </c>
      <c r="K36">
        <f>IFERROR(IF(OR(H36&lt;&gt;"Sí",D36&lt;=0,J36=""),"",MAX(0,D36-I36)/J36),"")</f>
        <v/>
      </c>
    </row>
    <row r="37">
      <c r="J37">
        <f>IFERROR(IF(OR(E37="",H37&lt;&gt;"Sí"),"",MAX(1,DATEDIF(TODAY(),E37,"M")+1)),"")</f>
        <v/>
      </c>
      <c r="K37">
        <f>IFERROR(IF(OR(H37&lt;&gt;"Sí",D37&lt;=0,J37=""),"",MAX(0,D37-I37)/J37),"")</f>
        <v/>
      </c>
    </row>
    <row r="38">
      <c r="J38">
        <f>IFERROR(IF(OR(E38="",H38&lt;&gt;"Sí"),"",MAX(1,DATEDIF(TODAY(),E38,"M")+1)),"")</f>
        <v/>
      </c>
      <c r="K38">
        <f>IFERROR(IF(OR(H38&lt;&gt;"Sí",D38&lt;=0,J38=""),"",MAX(0,D38-I38)/J38),"")</f>
        <v/>
      </c>
    </row>
    <row r="39">
      <c r="J39">
        <f>IFERROR(IF(OR(E39="",H39&lt;&gt;"Sí"),"",MAX(1,DATEDIF(TODAY(),E39,"M")+1)),"")</f>
        <v/>
      </c>
      <c r="K39">
        <f>IFERROR(IF(OR(H39&lt;&gt;"Sí",D39&lt;=0,J39=""),"",MAX(0,D39-I39)/J39),"")</f>
        <v/>
      </c>
    </row>
    <row r="40">
      <c r="J40">
        <f>IFERROR(IF(OR(E40="",H40&lt;&gt;"Sí"),"",MAX(1,DATEDIF(TODAY(),E40,"M")+1)),"")</f>
        <v/>
      </c>
      <c r="K40">
        <f>IFERROR(IF(OR(H40&lt;&gt;"Sí",D40&lt;=0,J40=""),"",MAX(0,D40-I40)/J40),"")</f>
        <v/>
      </c>
    </row>
    <row r="41">
      <c r="J41">
        <f>IFERROR(IF(OR(E41="",H41&lt;&gt;"Sí"),"",MAX(1,DATEDIF(TODAY(),E41,"M")+1)),"")</f>
        <v/>
      </c>
      <c r="K41">
        <f>IFERROR(IF(OR(H41&lt;&gt;"Sí",D41&lt;=0,J41=""),"",MAX(0,D41-I41)/J41),"")</f>
        <v/>
      </c>
    </row>
    <row r="42">
      <c r="J42">
        <f>IFERROR(IF(OR(E42="",H42&lt;&gt;"Sí"),"",MAX(1,DATEDIF(TODAY(),E42,"M")+1)),"")</f>
        <v/>
      </c>
      <c r="K42">
        <f>IFERROR(IF(OR(H42&lt;&gt;"Sí",D42&lt;=0,J42=""),"",MAX(0,D42-I42)/J42),"")</f>
        <v/>
      </c>
    </row>
    <row r="43">
      <c r="J43">
        <f>IFERROR(IF(OR(E43="",H43&lt;&gt;"Sí"),"",MAX(1,DATEDIF(TODAY(),E43,"M")+1)),"")</f>
        <v/>
      </c>
      <c r="K43">
        <f>IFERROR(IF(OR(H43&lt;&gt;"Sí",D43&lt;=0,J43=""),"",MAX(0,D43-I43)/J43),"")</f>
        <v/>
      </c>
    </row>
    <row r="44">
      <c r="J44">
        <f>IFERROR(IF(OR(E44="",H44&lt;&gt;"Sí"),"",MAX(1,DATEDIF(TODAY(),E44,"M")+1)),"")</f>
        <v/>
      </c>
      <c r="K44">
        <f>IFERROR(IF(OR(H44&lt;&gt;"Sí",D44&lt;=0,J44=""),"",MAX(0,D44-I44)/J44),"")</f>
        <v/>
      </c>
    </row>
    <row r="45">
      <c r="J45">
        <f>IFERROR(IF(OR(E45="",H45&lt;&gt;"Sí"),"",MAX(1,DATEDIF(TODAY(),E45,"M")+1)),"")</f>
        <v/>
      </c>
      <c r="K45">
        <f>IFERROR(IF(OR(H45&lt;&gt;"Sí",D45&lt;=0,J45=""),"",MAX(0,D45-I45)/J45),"")</f>
        <v/>
      </c>
    </row>
    <row r="46">
      <c r="J46">
        <f>IFERROR(IF(OR(E46="",H46&lt;&gt;"Sí"),"",MAX(1,DATEDIF(TODAY(),E46,"M")+1)),"")</f>
        <v/>
      </c>
      <c r="K46">
        <f>IFERROR(IF(OR(H46&lt;&gt;"Sí",D46&lt;=0,J46=""),"",MAX(0,D46-I46)/J46),"")</f>
        <v/>
      </c>
    </row>
    <row r="47">
      <c r="J47">
        <f>IFERROR(IF(OR(E47="",H47&lt;&gt;"Sí"),"",MAX(1,DATEDIF(TODAY(),E47,"M")+1)),"")</f>
        <v/>
      </c>
      <c r="K47">
        <f>IFERROR(IF(OR(H47&lt;&gt;"Sí",D47&lt;=0,J47=""),"",MAX(0,D47-I47)/J47),"")</f>
        <v/>
      </c>
    </row>
    <row r="48">
      <c r="J48">
        <f>IFERROR(IF(OR(E48="",H48&lt;&gt;"Sí"),"",MAX(1,DATEDIF(TODAY(),E48,"M")+1)),"")</f>
        <v/>
      </c>
      <c r="K48">
        <f>IFERROR(IF(OR(H48&lt;&gt;"Sí",D48&lt;=0,J48=""),"",MAX(0,D48-I48)/J48),"")</f>
        <v/>
      </c>
    </row>
    <row r="49">
      <c r="J49">
        <f>IFERROR(IF(OR(E49="",H49&lt;&gt;"Sí"),"",MAX(1,DATEDIF(TODAY(),E49,"M")+1)),"")</f>
        <v/>
      </c>
      <c r="K49">
        <f>IFERROR(IF(OR(H49&lt;&gt;"Sí",D49&lt;=0,J49=""),"",MAX(0,D49-I49)/J49),"")</f>
        <v/>
      </c>
    </row>
    <row r="50">
      <c r="J50">
        <f>IFERROR(IF(OR(E50="",H50&lt;&gt;"Sí"),"",MAX(1,DATEDIF(TODAY(),E50,"M")+1)),"")</f>
        <v/>
      </c>
      <c r="K50">
        <f>IFERROR(IF(OR(H50&lt;&gt;"Sí",D50&lt;=0,J50=""),"",MAX(0,D50-I50)/J50),"")</f>
        <v/>
      </c>
    </row>
    <row r="51">
      <c r="J51">
        <f>IFERROR(IF(OR(E51="",H51&lt;&gt;"Sí"),"",MAX(1,DATEDIF(TODAY(),E51,"M")+1)),"")</f>
        <v/>
      </c>
      <c r="K51">
        <f>IFERROR(IF(OR(H51&lt;&gt;"Sí",D51&lt;=0,J51=""),"",MAX(0,D51-I51)/J51),"")</f>
        <v/>
      </c>
    </row>
    <row r="52">
      <c r="J52">
        <f>IFERROR(IF(OR(E52="",H52&lt;&gt;"Sí"),"",MAX(1,DATEDIF(TODAY(),E52,"M")+1)),"")</f>
        <v/>
      </c>
      <c r="K52">
        <f>IFERROR(IF(OR(H52&lt;&gt;"Sí",D52&lt;=0,J52=""),"",MAX(0,D52-I52)/J52),"")</f>
        <v/>
      </c>
    </row>
    <row r="53">
      <c r="J53">
        <f>IFERROR(IF(OR(E53="",H53&lt;&gt;"Sí"),"",MAX(1,DATEDIF(TODAY(),E53,"M")+1)),"")</f>
        <v/>
      </c>
      <c r="K53">
        <f>IFERROR(IF(OR(H53&lt;&gt;"Sí",D53&lt;=0,J53=""),"",MAX(0,D53-I53)/J53),"")</f>
        <v/>
      </c>
    </row>
    <row r="54">
      <c r="J54">
        <f>IFERROR(IF(OR(E54="",H54&lt;&gt;"Sí"),"",MAX(1,DATEDIF(TODAY(),E54,"M")+1)),"")</f>
        <v/>
      </c>
      <c r="K54">
        <f>IFERROR(IF(OR(H54&lt;&gt;"Sí",D54&lt;=0,J54=""),"",MAX(0,D54-I54)/J54),"")</f>
        <v/>
      </c>
    </row>
    <row r="55">
      <c r="J55">
        <f>IFERROR(IF(OR(E55="",H55&lt;&gt;"Sí"),"",MAX(1,DATEDIF(TODAY(),E55,"M")+1)),"")</f>
        <v/>
      </c>
      <c r="K55">
        <f>IFERROR(IF(OR(H55&lt;&gt;"Sí",D55&lt;=0,J55=""),"",MAX(0,D55-I55)/J55),"")</f>
        <v/>
      </c>
    </row>
    <row r="56">
      <c r="J56">
        <f>IFERROR(IF(OR(E56="",H56&lt;&gt;"Sí"),"",MAX(1,DATEDIF(TODAY(),E56,"M")+1)),"")</f>
        <v/>
      </c>
      <c r="K56">
        <f>IFERROR(IF(OR(H56&lt;&gt;"Sí",D56&lt;=0,J56=""),"",MAX(0,D56-I56)/J56),"")</f>
        <v/>
      </c>
    </row>
    <row r="57">
      <c r="J57">
        <f>IFERROR(IF(OR(E57="",H57&lt;&gt;"Sí"),"",MAX(1,DATEDIF(TODAY(),E57,"M")+1)),"")</f>
        <v/>
      </c>
      <c r="K57">
        <f>IFERROR(IF(OR(H57&lt;&gt;"Sí",D57&lt;=0,J57=""),"",MAX(0,D57-I57)/J57),"")</f>
        <v/>
      </c>
    </row>
    <row r="58">
      <c r="J58">
        <f>IFERROR(IF(OR(E58="",H58&lt;&gt;"Sí"),"",MAX(1,DATEDIF(TODAY(),E58,"M")+1)),"")</f>
        <v/>
      </c>
      <c r="K58">
        <f>IFERROR(IF(OR(H58&lt;&gt;"Sí",D58&lt;=0,J58=""),"",MAX(0,D58-I58)/J58),"")</f>
        <v/>
      </c>
    </row>
    <row r="59">
      <c r="J59">
        <f>IFERROR(IF(OR(E59="",H59&lt;&gt;"Sí"),"",MAX(1,DATEDIF(TODAY(),E59,"M")+1)),"")</f>
        <v/>
      </c>
      <c r="K59">
        <f>IFERROR(IF(OR(H59&lt;&gt;"Sí",D59&lt;=0,J59=""),"",MAX(0,D59-I59)/J59),"")</f>
        <v/>
      </c>
    </row>
    <row r="60">
      <c r="J60">
        <f>IFERROR(IF(OR(E60="",H60&lt;&gt;"Sí"),"",MAX(1,DATEDIF(TODAY(),E60,"M")+1)),"")</f>
        <v/>
      </c>
      <c r="K60">
        <f>IFERROR(IF(OR(H60&lt;&gt;"Sí",D60&lt;=0,J60=""),"",MAX(0,D60-I60)/J60),"")</f>
        <v/>
      </c>
    </row>
    <row r="61">
      <c r="J61">
        <f>IFERROR(IF(OR(E61="",H61&lt;&gt;"Sí"),"",MAX(1,DATEDIF(TODAY(),E61,"M")+1)),"")</f>
        <v/>
      </c>
      <c r="K61">
        <f>IFERROR(IF(OR(H61&lt;&gt;"Sí",D61&lt;=0,J61=""),"",MAX(0,D61-I61)/J61),"")</f>
        <v/>
      </c>
    </row>
    <row r="62">
      <c r="J62">
        <f>IFERROR(IF(OR(E62="",H62&lt;&gt;"Sí"),"",MAX(1,DATEDIF(TODAY(),E62,"M")+1)),"")</f>
        <v/>
      </c>
      <c r="K62">
        <f>IFERROR(IF(OR(H62&lt;&gt;"Sí",D62&lt;=0,J62=""),"",MAX(0,D62-I62)/J62),"")</f>
        <v/>
      </c>
    </row>
    <row r="63">
      <c r="J63">
        <f>IFERROR(IF(OR(E63="",H63&lt;&gt;"Sí"),"",MAX(1,DATEDIF(TODAY(),E63,"M")+1)),"")</f>
        <v/>
      </c>
      <c r="K63">
        <f>IFERROR(IF(OR(H63&lt;&gt;"Sí",D63&lt;=0,J63=""),"",MAX(0,D63-I63)/J63),"")</f>
        <v/>
      </c>
    </row>
    <row r="64">
      <c r="J64">
        <f>IFERROR(IF(OR(E64="",H64&lt;&gt;"Sí"),"",MAX(1,DATEDIF(TODAY(),E64,"M")+1)),"")</f>
        <v/>
      </c>
      <c r="K64">
        <f>IFERROR(IF(OR(H64&lt;&gt;"Sí",D64&lt;=0,J64=""),"",MAX(0,D64-I64)/J64),"")</f>
        <v/>
      </c>
    </row>
    <row r="65">
      <c r="J65">
        <f>IFERROR(IF(OR(E65="",H65&lt;&gt;"Sí"),"",MAX(1,DATEDIF(TODAY(),E65,"M")+1)),"")</f>
        <v/>
      </c>
      <c r="K65">
        <f>IFERROR(IF(OR(H65&lt;&gt;"Sí",D65&lt;=0,J65=""),"",MAX(0,D65-I65)/J65),"")</f>
        <v/>
      </c>
    </row>
    <row r="66">
      <c r="J66">
        <f>IFERROR(IF(OR(E66="",H66&lt;&gt;"Sí"),"",MAX(1,DATEDIF(TODAY(),E66,"M")+1)),"")</f>
        <v/>
      </c>
      <c r="K66">
        <f>IFERROR(IF(OR(H66&lt;&gt;"Sí",D66&lt;=0,J66=""),"",MAX(0,D66-I66)/J66),"")</f>
        <v/>
      </c>
    </row>
    <row r="67">
      <c r="J67">
        <f>IFERROR(IF(OR(E67="",H67&lt;&gt;"Sí"),"",MAX(1,DATEDIF(TODAY(),E67,"M")+1)),"")</f>
        <v/>
      </c>
      <c r="K67">
        <f>IFERROR(IF(OR(H67&lt;&gt;"Sí",D67&lt;=0,J67=""),"",MAX(0,D67-I67)/J67),"")</f>
        <v/>
      </c>
    </row>
    <row r="68">
      <c r="J68">
        <f>IFERROR(IF(OR(E68="",H68&lt;&gt;"Sí"),"",MAX(1,DATEDIF(TODAY(),E68,"M")+1)),"")</f>
        <v/>
      </c>
      <c r="K68">
        <f>IFERROR(IF(OR(H68&lt;&gt;"Sí",D68&lt;=0,J68=""),"",MAX(0,D68-I68)/J68),"")</f>
        <v/>
      </c>
    </row>
    <row r="69">
      <c r="J69">
        <f>IFERROR(IF(OR(E69="",H69&lt;&gt;"Sí"),"",MAX(1,DATEDIF(TODAY(),E69,"M")+1)),"")</f>
        <v/>
      </c>
      <c r="K69">
        <f>IFERROR(IF(OR(H69&lt;&gt;"Sí",D69&lt;=0,J69=""),"",MAX(0,D69-I69)/J69),"")</f>
        <v/>
      </c>
    </row>
    <row r="70">
      <c r="J70">
        <f>IFERROR(IF(OR(E70="",H70&lt;&gt;"Sí"),"",MAX(1,DATEDIF(TODAY(),E70,"M")+1)),"")</f>
        <v/>
      </c>
      <c r="K70">
        <f>IFERROR(IF(OR(H70&lt;&gt;"Sí",D70&lt;=0,J70=""),"",MAX(0,D70-I70)/J70),"")</f>
        <v/>
      </c>
    </row>
    <row r="71">
      <c r="J71">
        <f>IFERROR(IF(OR(E71="",H71&lt;&gt;"Sí"),"",MAX(1,DATEDIF(TODAY(),E71,"M")+1)),"")</f>
        <v/>
      </c>
      <c r="K71">
        <f>IFERROR(IF(OR(H71&lt;&gt;"Sí",D71&lt;=0,J71=""),"",MAX(0,D71-I71)/J71),"")</f>
        <v/>
      </c>
    </row>
    <row r="72">
      <c r="J72">
        <f>IFERROR(IF(OR(E72="",H72&lt;&gt;"Sí"),"",MAX(1,DATEDIF(TODAY(),E72,"M")+1)),"")</f>
        <v/>
      </c>
      <c r="K72">
        <f>IFERROR(IF(OR(H72&lt;&gt;"Sí",D72&lt;=0,J72=""),"",MAX(0,D72-I72)/J72),"")</f>
        <v/>
      </c>
    </row>
    <row r="73">
      <c r="J73">
        <f>IFERROR(IF(OR(E73="",H73&lt;&gt;"Sí"),"",MAX(1,DATEDIF(TODAY(),E73,"M")+1)),"")</f>
        <v/>
      </c>
      <c r="K73">
        <f>IFERROR(IF(OR(H73&lt;&gt;"Sí",D73&lt;=0,J73=""),"",MAX(0,D73-I73)/J73),"")</f>
        <v/>
      </c>
    </row>
    <row r="74">
      <c r="J74">
        <f>IFERROR(IF(OR(E74="",H74&lt;&gt;"Sí"),"",MAX(1,DATEDIF(TODAY(),E74,"M")+1)),"")</f>
        <v/>
      </c>
      <c r="K74">
        <f>IFERROR(IF(OR(H74&lt;&gt;"Sí",D74&lt;=0,J74=""),"",MAX(0,D74-I74)/J74),"")</f>
        <v/>
      </c>
    </row>
    <row r="75">
      <c r="J75">
        <f>IFERROR(IF(OR(E75="",H75&lt;&gt;"Sí"),"",MAX(1,DATEDIF(TODAY(),E75,"M")+1)),"")</f>
        <v/>
      </c>
      <c r="K75">
        <f>IFERROR(IF(OR(H75&lt;&gt;"Sí",D75&lt;=0,J75=""),"",MAX(0,D75-I75)/J75),"")</f>
        <v/>
      </c>
    </row>
    <row r="76">
      <c r="J76">
        <f>IFERROR(IF(OR(E76="",H76&lt;&gt;"Sí"),"",MAX(1,DATEDIF(TODAY(),E76,"M")+1)),"")</f>
        <v/>
      </c>
      <c r="K76">
        <f>IFERROR(IF(OR(H76&lt;&gt;"Sí",D76&lt;=0,J76=""),"",MAX(0,D76-I76)/J76),"")</f>
        <v/>
      </c>
    </row>
    <row r="77">
      <c r="J77">
        <f>IFERROR(IF(OR(E77="",H77&lt;&gt;"Sí"),"",MAX(1,DATEDIF(TODAY(),E77,"M")+1)),"")</f>
        <v/>
      </c>
      <c r="K77">
        <f>IFERROR(IF(OR(H77&lt;&gt;"Sí",D77&lt;=0,J77=""),"",MAX(0,D77-I77)/J77),"")</f>
        <v/>
      </c>
    </row>
    <row r="78">
      <c r="J78">
        <f>IFERROR(IF(OR(E78="",H78&lt;&gt;"Sí"),"",MAX(1,DATEDIF(TODAY(),E78,"M")+1)),"")</f>
        <v/>
      </c>
      <c r="K78">
        <f>IFERROR(IF(OR(H78&lt;&gt;"Sí",D78&lt;=0,J78=""),"",MAX(0,D78-I78)/J78),"")</f>
        <v/>
      </c>
    </row>
    <row r="79">
      <c r="J79">
        <f>IFERROR(IF(OR(E79="",H79&lt;&gt;"Sí"),"",MAX(1,DATEDIF(TODAY(),E79,"M")+1)),"")</f>
        <v/>
      </c>
      <c r="K79">
        <f>IFERROR(IF(OR(H79&lt;&gt;"Sí",D79&lt;=0,J79=""),"",MAX(0,D79-I79)/J79),"")</f>
        <v/>
      </c>
    </row>
    <row r="80">
      <c r="J80">
        <f>IFERROR(IF(OR(E80="",H80&lt;&gt;"Sí"),"",MAX(1,DATEDIF(TODAY(),E80,"M")+1)),"")</f>
        <v/>
      </c>
      <c r="K80">
        <f>IFERROR(IF(OR(H80&lt;&gt;"Sí",D80&lt;=0,J80=""),"",MAX(0,D80-I80)/J80),"")</f>
        <v/>
      </c>
    </row>
    <row r="81">
      <c r="J81">
        <f>IFERROR(IF(OR(E81="",H81&lt;&gt;"Sí"),"",MAX(1,DATEDIF(TODAY(),E81,"M")+1)),"")</f>
        <v/>
      </c>
      <c r="K81">
        <f>IFERROR(IF(OR(H81&lt;&gt;"Sí",D81&lt;=0,J81=""),"",MAX(0,D81-I81)/J81),"")</f>
        <v/>
      </c>
    </row>
    <row r="82">
      <c r="J82">
        <f>IFERROR(IF(OR(E82="",H82&lt;&gt;"Sí"),"",MAX(1,DATEDIF(TODAY(),E82,"M")+1)),"")</f>
        <v/>
      </c>
      <c r="K82">
        <f>IFERROR(IF(OR(H82&lt;&gt;"Sí",D82&lt;=0,J82=""),"",MAX(0,D82-I82)/J82),"")</f>
        <v/>
      </c>
    </row>
    <row r="83">
      <c r="J83">
        <f>IFERROR(IF(OR(E83="",H83&lt;&gt;"Sí"),"",MAX(1,DATEDIF(TODAY(),E83,"M")+1)),"")</f>
        <v/>
      </c>
      <c r="K83">
        <f>IFERROR(IF(OR(H83&lt;&gt;"Sí",D83&lt;=0,J83=""),"",MAX(0,D83-I83)/J83),"")</f>
        <v/>
      </c>
    </row>
    <row r="84">
      <c r="J84">
        <f>IFERROR(IF(OR(E84="",H84&lt;&gt;"Sí"),"",MAX(1,DATEDIF(TODAY(),E84,"M")+1)),"")</f>
        <v/>
      </c>
      <c r="K84">
        <f>IFERROR(IF(OR(H84&lt;&gt;"Sí",D84&lt;=0,J84=""),"",MAX(0,D84-I84)/J84),"")</f>
        <v/>
      </c>
    </row>
    <row r="85">
      <c r="J85">
        <f>IFERROR(IF(OR(E85="",H85&lt;&gt;"Sí"),"",MAX(1,DATEDIF(TODAY(),E85,"M")+1)),"")</f>
        <v/>
      </c>
      <c r="K85">
        <f>IFERROR(IF(OR(H85&lt;&gt;"Sí",D85&lt;=0,J85=""),"",MAX(0,D85-I85)/J85),"")</f>
        <v/>
      </c>
    </row>
    <row r="86">
      <c r="J86">
        <f>IFERROR(IF(OR(E86="",H86&lt;&gt;"Sí"),"",MAX(1,DATEDIF(TODAY(),E86,"M")+1)),"")</f>
        <v/>
      </c>
      <c r="K86">
        <f>IFERROR(IF(OR(H86&lt;&gt;"Sí",D86&lt;=0,J86=""),"",MAX(0,D86-I86)/J86),"")</f>
        <v/>
      </c>
    </row>
    <row r="87">
      <c r="J87">
        <f>IFERROR(IF(OR(E87="",H87&lt;&gt;"Sí"),"",MAX(1,DATEDIF(TODAY(),E87,"M")+1)),"")</f>
        <v/>
      </c>
      <c r="K87">
        <f>IFERROR(IF(OR(H87&lt;&gt;"Sí",D87&lt;=0,J87=""),"",MAX(0,D87-I87)/J87),"")</f>
        <v/>
      </c>
    </row>
    <row r="88">
      <c r="J88">
        <f>IFERROR(IF(OR(E88="",H88&lt;&gt;"Sí"),"",MAX(1,DATEDIF(TODAY(),E88,"M")+1)),"")</f>
        <v/>
      </c>
      <c r="K88">
        <f>IFERROR(IF(OR(H88&lt;&gt;"Sí",D88&lt;=0,J88=""),"",MAX(0,D88-I88)/J88),"")</f>
        <v/>
      </c>
    </row>
    <row r="89">
      <c r="J89">
        <f>IFERROR(IF(OR(E89="",H89&lt;&gt;"Sí"),"",MAX(1,DATEDIF(TODAY(),E89,"M")+1)),"")</f>
        <v/>
      </c>
      <c r="K89">
        <f>IFERROR(IF(OR(H89&lt;&gt;"Sí",D89&lt;=0,J89=""),"",MAX(0,D89-I89)/J89),"")</f>
        <v/>
      </c>
    </row>
    <row r="90">
      <c r="J90">
        <f>IFERROR(IF(OR(E90="",H90&lt;&gt;"Sí"),"",MAX(1,DATEDIF(TODAY(),E90,"M")+1)),"")</f>
        <v/>
      </c>
      <c r="K90">
        <f>IFERROR(IF(OR(H90&lt;&gt;"Sí",D90&lt;=0,J90=""),"",MAX(0,D90-I90)/J90),"")</f>
        <v/>
      </c>
    </row>
    <row r="91">
      <c r="J91">
        <f>IFERROR(IF(OR(E91="",H91&lt;&gt;"Sí"),"",MAX(1,DATEDIF(TODAY(),E91,"M")+1)),"")</f>
        <v/>
      </c>
      <c r="K91">
        <f>IFERROR(IF(OR(H91&lt;&gt;"Sí",D91&lt;=0,J91=""),"",MAX(0,D91-I91)/J91),"")</f>
        <v/>
      </c>
    </row>
    <row r="92">
      <c r="J92">
        <f>IFERROR(IF(OR(E92="",H92&lt;&gt;"Sí"),"",MAX(1,DATEDIF(TODAY(),E92,"M")+1)),"")</f>
        <v/>
      </c>
      <c r="K92">
        <f>IFERROR(IF(OR(H92&lt;&gt;"Sí",D92&lt;=0,J92=""),"",MAX(0,D92-I92)/J92),"")</f>
        <v/>
      </c>
    </row>
    <row r="93">
      <c r="J93">
        <f>IFERROR(IF(OR(E93="",H93&lt;&gt;"Sí"),"",MAX(1,DATEDIF(TODAY(),E93,"M")+1)),"")</f>
        <v/>
      </c>
      <c r="K93">
        <f>IFERROR(IF(OR(H93&lt;&gt;"Sí",D93&lt;=0,J93=""),"",MAX(0,D93-I93)/J93),"")</f>
        <v/>
      </c>
    </row>
    <row r="94">
      <c r="J94">
        <f>IFERROR(IF(OR(E94="",H94&lt;&gt;"Sí"),"",MAX(1,DATEDIF(TODAY(),E94,"M")+1)),"")</f>
        <v/>
      </c>
      <c r="K94">
        <f>IFERROR(IF(OR(H94&lt;&gt;"Sí",D94&lt;=0,J94=""),"",MAX(0,D94-I94)/J94),"")</f>
        <v/>
      </c>
    </row>
    <row r="95">
      <c r="J95">
        <f>IFERROR(IF(OR(E95="",H95&lt;&gt;"Sí"),"",MAX(1,DATEDIF(TODAY(),E95,"M")+1)),"")</f>
        <v/>
      </c>
      <c r="K95">
        <f>IFERROR(IF(OR(H95&lt;&gt;"Sí",D95&lt;=0,J95=""),"",MAX(0,D95-I95)/J95),"")</f>
        <v/>
      </c>
    </row>
    <row r="96">
      <c r="J96">
        <f>IFERROR(IF(OR(E96="",H96&lt;&gt;"Sí"),"",MAX(1,DATEDIF(TODAY(),E96,"M")+1)),"")</f>
        <v/>
      </c>
      <c r="K96">
        <f>IFERROR(IF(OR(H96&lt;&gt;"Sí",D96&lt;=0,J96=""),"",MAX(0,D96-I96)/J96),"")</f>
        <v/>
      </c>
    </row>
    <row r="97">
      <c r="J97">
        <f>IFERROR(IF(OR(E97="",H97&lt;&gt;"Sí"),"",MAX(1,DATEDIF(TODAY(),E97,"M")+1)),"")</f>
        <v/>
      </c>
      <c r="K97">
        <f>IFERROR(IF(OR(H97&lt;&gt;"Sí",D97&lt;=0,J97=""),"",MAX(0,D97-I97)/J97),"")</f>
        <v/>
      </c>
    </row>
    <row r="98">
      <c r="J98">
        <f>IFERROR(IF(OR(E98="",H98&lt;&gt;"Sí"),"",MAX(1,DATEDIF(TODAY(),E98,"M")+1)),"")</f>
        <v/>
      </c>
      <c r="K98">
        <f>IFERROR(IF(OR(H98&lt;&gt;"Sí",D98&lt;=0,J98=""),"",MAX(0,D98-I98)/J98),"")</f>
        <v/>
      </c>
    </row>
    <row r="99">
      <c r="J99">
        <f>IFERROR(IF(OR(E99="",H99&lt;&gt;"Sí"),"",MAX(1,DATEDIF(TODAY(),E99,"M")+1)),"")</f>
        <v/>
      </c>
      <c r="K99">
        <f>IFERROR(IF(OR(H99&lt;&gt;"Sí",D99&lt;=0,J99=""),"",MAX(0,D99-I99)/J99),"")</f>
        <v/>
      </c>
    </row>
    <row r="100">
      <c r="J100">
        <f>IFERROR(IF(OR(E100="",H100&lt;&gt;"Sí"),"",MAX(1,DATEDIF(TODAY(),E100,"M")+1)),"")</f>
        <v/>
      </c>
      <c r="K100">
        <f>IFERROR(IF(OR(H100&lt;&gt;"Sí",D100&lt;=0,J100=""),"",MAX(0,D100-I100)/J100),"")</f>
        <v/>
      </c>
    </row>
    <row r="101">
      <c r="J101">
        <f>IFERROR(IF(OR(E101="",H101&lt;&gt;"Sí"),"",MAX(1,DATEDIF(TODAY(),E101,"M")+1)),"")</f>
        <v/>
      </c>
      <c r="K101">
        <f>IFERROR(IF(OR(H101&lt;&gt;"Sí",D101&lt;=0,J101=""),"",MAX(0,D101-I101)/J101),"")</f>
        <v/>
      </c>
    </row>
    <row r="102">
      <c r="J102">
        <f>IFERROR(IF(OR(E102="",H102&lt;&gt;"Sí"),"",MAX(1,DATEDIF(TODAY(),E102,"M")+1)),"")</f>
        <v/>
      </c>
      <c r="K102">
        <f>IFERROR(IF(OR(H102&lt;&gt;"Sí",D102&lt;=0,J102=""),"",MAX(0,D102-I102)/J102),"")</f>
        <v/>
      </c>
    </row>
    <row r="103">
      <c r="J103">
        <f>IFERROR(IF(OR(E103="",H103&lt;&gt;"Sí"),"",MAX(1,DATEDIF(TODAY(),E103,"M")+1)),"")</f>
        <v/>
      </c>
      <c r="K103">
        <f>IFERROR(IF(OR(H103&lt;&gt;"Sí",D103&lt;=0,J103=""),"",MAX(0,D103-I103)/J103),"")</f>
        <v/>
      </c>
    </row>
    <row r="104">
      <c r="J104">
        <f>IFERROR(IF(OR(E104="",H104&lt;&gt;"Sí"),"",MAX(1,DATEDIF(TODAY(),E104,"M")+1)),"")</f>
        <v/>
      </c>
      <c r="K104">
        <f>IFERROR(IF(OR(H104&lt;&gt;"Sí",D104&lt;=0,J104=""),"",MAX(0,D104-I104)/J104),"")</f>
        <v/>
      </c>
    </row>
    <row r="105">
      <c r="J105">
        <f>IFERROR(IF(OR(E105="",H105&lt;&gt;"Sí"),"",MAX(1,DATEDIF(TODAY(),E105,"M")+1)),"")</f>
        <v/>
      </c>
      <c r="K105">
        <f>IFERROR(IF(OR(H105&lt;&gt;"Sí",D105&lt;=0,J105=""),"",MAX(0,D105-I105)/J105),"")</f>
        <v/>
      </c>
    </row>
    <row r="106">
      <c r="J106">
        <f>IFERROR(IF(OR(E106="",H106&lt;&gt;"Sí"),"",MAX(1,DATEDIF(TODAY(),E106,"M")+1)),"")</f>
        <v/>
      </c>
      <c r="K106">
        <f>IFERROR(IF(OR(H106&lt;&gt;"Sí",D106&lt;=0,J106=""),"",MAX(0,D106-I106)/J106),"")</f>
        <v/>
      </c>
    </row>
    <row r="107">
      <c r="J107">
        <f>IFERROR(IF(OR(E107="",H107&lt;&gt;"Sí"),"",MAX(1,DATEDIF(TODAY(),E107,"M")+1)),"")</f>
        <v/>
      </c>
      <c r="K107">
        <f>IFERROR(IF(OR(H107&lt;&gt;"Sí",D107&lt;=0,J107=""),"",MAX(0,D107-I107)/J107),"")</f>
        <v/>
      </c>
    </row>
    <row r="108">
      <c r="J108">
        <f>IFERROR(IF(OR(E108="",H108&lt;&gt;"Sí"),"",MAX(1,DATEDIF(TODAY(),E108,"M")+1)),"")</f>
        <v/>
      </c>
      <c r="K108">
        <f>IFERROR(IF(OR(H108&lt;&gt;"Sí",D108&lt;=0,J108=""),"",MAX(0,D108-I108)/J108),"")</f>
        <v/>
      </c>
    </row>
    <row r="109">
      <c r="J109">
        <f>IFERROR(IF(OR(E109="",H109&lt;&gt;"Sí"),"",MAX(1,DATEDIF(TODAY(),E109,"M")+1)),"")</f>
        <v/>
      </c>
      <c r="K109">
        <f>IFERROR(IF(OR(H109&lt;&gt;"Sí",D109&lt;=0,J109=""),"",MAX(0,D109-I109)/J109),"")</f>
        <v/>
      </c>
    </row>
    <row r="110">
      <c r="J110">
        <f>IFERROR(IF(OR(E110="",H110&lt;&gt;"Sí"),"",MAX(1,DATEDIF(TODAY(),E110,"M")+1)),"")</f>
        <v/>
      </c>
      <c r="K110">
        <f>IFERROR(IF(OR(H110&lt;&gt;"Sí",D110&lt;=0,J110=""),"",MAX(0,D110-I110)/J110),"")</f>
        <v/>
      </c>
    </row>
    <row r="111">
      <c r="J111">
        <f>IFERROR(IF(OR(E111="",H111&lt;&gt;"Sí"),"",MAX(1,DATEDIF(TODAY(),E111,"M")+1)),"")</f>
        <v/>
      </c>
      <c r="K111">
        <f>IFERROR(IF(OR(H111&lt;&gt;"Sí",D111&lt;=0,J111=""),"",MAX(0,D111-I111)/J111),"")</f>
        <v/>
      </c>
    </row>
    <row r="112">
      <c r="J112">
        <f>IFERROR(IF(OR(E112="",H112&lt;&gt;"Sí"),"",MAX(1,DATEDIF(TODAY(),E112,"M")+1)),"")</f>
        <v/>
      </c>
      <c r="K112">
        <f>IFERROR(IF(OR(H112&lt;&gt;"Sí",D112&lt;=0,J112=""),"",MAX(0,D112-I112)/J112),"")</f>
        <v/>
      </c>
    </row>
    <row r="113">
      <c r="J113">
        <f>IFERROR(IF(OR(E113="",H113&lt;&gt;"Sí"),"",MAX(1,DATEDIF(TODAY(),E113,"M")+1)),"")</f>
        <v/>
      </c>
      <c r="K113">
        <f>IFERROR(IF(OR(H113&lt;&gt;"Sí",D113&lt;=0,J113=""),"",MAX(0,D113-I113)/J113),"")</f>
        <v/>
      </c>
    </row>
    <row r="114">
      <c r="J114">
        <f>IFERROR(IF(OR(E114="",H114&lt;&gt;"Sí"),"",MAX(1,DATEDIF(TODAY(),E114,"M")+1)),"")</f>
        <v/>
      </c>
      <c r="K114">
        <f>IFERROR(IF(OR(H114&lt;&gt;"Sí",D114&lt;=0,J114=""),"",MAX(0,D114-I114)/J114),"")</f>
        <v/>
      </c>
    </row>
    <row r="115">
      <c r="J115">
        <f>IFERROR(IF(OR(E115="",H115&lt;&gt;"Sí"),"",MAX(1,DATEDIF(TODAY(),E115,"M")+1)),"")</f>
        <v/>
      </c>
      <c r="K115">
        <f>IFERROR(IF(OR(H115&lt;&gt;"Sí",D115&lt;=0,J115=""),"",MAX(0,D115-I115)/J115),"")</f>
        <v/>
      </c>
    </row>
    <row r="116">
      <c r="J116">
        <f>IFERROR(IF(OR(E116="",H116&lt;&gt;"Sí"),"",MAX(1,DATEDIF(TODAY(),E116,"M")+1)),"")</f>
        <v/>
      </c>
      <c r="K116">
        <f>IFERROR(IF(OR(H116&lt;&gt;"Sí",D116&lt;=0,J116=""),"",MAX(0,D116-I116)/J116),"")</f>
        <v/>
      </c>
    </row>
    <row r="117">
      <c r="J117">
        <f>IFERROR(IF(OR(E117="",H117&lt;&gt;"Sí"),"",MAX(1,DATEDIF(TODAY(),E117,"M")+1)),"")</f>
        <v/>
      </c>
      <c r="K117">
        <f>IFERROR(IF(OR(H117&lt;&gt;"Sí",D117&lt;=0,J117=""),"",MAX(0,D117-I117)/J117),"")</f>
        <v/>
      </c>
    </row>
    <row r="118">
      <c r="J118">
        <f>IFERROR(IF(OR(E118="",H118&lt;&gt;"Sí"),"",MAX(1,DATEDIF(TODAY(),E118,"M")+1)),"")</f>
        <v/>
      </c>
      <c r="K118">
        <f>IFERROR(IF(OR(H118&lt;&gt;"Sí",D118&lt;=0,J118=""),"",MAX(0,D118-I118)/J118),"")</f>
        <v/>
      </c>
    </row>
    <row r="119">
      <c r="J119">
        <f>IFERROR(IF(OR(E119="",H119&lt;&gt;"Sí"),"",MAX(1,DATEDIF(TODAY(),E119,"M")+1)),"")</f>
        <v/>
      </c>
      <c r="K119">
        <f>IFERROR(IF(OR(H119&lt;&gt;"Sí",D119&lt;=0,J119=""),"",MAX(0,D119-I119)/J119),"")</f>
        <v/>
      </c>
    </row>
    <row r="120">
      <c r="J120">
        <f>IFERROR(IF(OR(E120="",H120&lt;&gt;"Sí"),"",MAX(1,DATEDIF(TODAY(),E120,"M")+1)),"")</f>
        <v/>
      </c>
      <c r="K120">
        <f>IFERROR(IF(OR(H120&lt;&gt;"Sí",D120&lt;=0,J120=""),"",MAX(0,D120-I120)/J120),"")</f>
        <v/>
      </c>
    </row>
    <row r="121">
      <c r="J121">
        <f>IFERROR(IF(OR(E121="",H121&lt;&gt;"Sí"),"",MAX(1,DATEDIF(TODAY(),E121,"M")+1)),"")</f>
        <v/>
      </c>
      <c r="K121">
        <f>IFERROR(IF(OR(H121&lt;&gt;"Sí",D121&lt;=0,J121=""),"",MAX(0,D121-I121)/J121),"")</f>
        <v/>
      </c>
    </row>
    <row r="122">
      <c r="J122">
        <f>IFERROR(IF(OR(E122="",H122&lt;&gt;"Sí"),"",MAX(1,DATEDIF(TODAY(),E122,"M")+1)),"")</f>
        <v/>
      </c>
      <c r="K122">
        <f>IFERROR(IF(OR(H122&lt;&gt;"Sí",D122&lt;=0,J122=""),"",MAX(0,D122-I122)/J122),"")</f>
        <v/>
      </c>
    </row>
    <row r="123">
      <c r="J123">
        <f>IFERROR(IF(OR(E123="",H123&lt;&gt;"Sí"),"",MAX(1,DATEDIF(TODAY(),E123,"M")+1)),"")</f>
        <v/>
      </c>
      <c r="K123">
        <f>IFERROR(IF(OR(H123&lt;&gt;"Sí",D123&lt;=0,J123=""),"",MAX(0,D123-I123)/J123),"")</f>
        <v/>
      </c>
    </row>
    <row r="124">
      <c r="J124">
        <f>IFERROR(IF(OR(E124="",H124&lt;&gt;"Sí"),"",MAX(1,DATEDIF(TODAY(),E124,"M")+1)),"")</f>
        <v/>
      </c>
      <c r="K124">
        <f>IFERROR(IF(OR(H124&lt;&gt;"Sí",D124&lt;=0,J124=""),"",MAX(0,D124-I124)/J124),"")</f>
        <v/>
      </c>
    </row>
    <row r="125">
      <c r="J125">
        <f>IFERROR(IF(OR(E125="",H125&lt;&gt;"Sí"),"",MAX(1,DATEDIF(TODAY(),E125,"M")+1)),"")</f>
        <v/>
      </c>
      <c r="K125">
        <f>IFERROR(IF(OR(H125&lt;&gt;"Sí",D125&lt;=0,J125=""),"",MAX(0,D125-I125)/J125),"")</f>
        <v/>
      </c>
    </row>
    <row r="126">
      <c r="J126">
        <f>IFERROR(IF(OR(E126="",H126&lt;&gt;"Sí"),"",MAX(1,DATEDIF(TODAY(),E126,"M")+1)),"")</f>
        <v/>
      </c>
      <c r="K126">
        <f>IFERROR(IF(OR(H126&lt;&gt;"Sí",D126&lt;=0,J126=""),"",MAX(0,D126-I126)/J126),"")</f>
        <v/>
      </c>
    </row>
    <row r="127">
      <c r="J127">
        <f>IFERROR(IF(OR(E127="",H127&lt;&gt;"Sí"),"",MAX(1,DATEDIF(TODAY(),E127,"M")+1)),"")</f>
        <v/>
      </c>
      <c r="K127">
        <f>IFERROR(IF(OR(H127&lt;&gt;"Sí",D127&lt;=0,J127=""),"",MAX(0,D127-I127)/J127),"")</f>
        <v/>
      </c>
    </row>
    <row r="128">
      <c r="J128">
        <f>IFERROR(IF(OR(E128="",H128&lt;&gt;"Sí"),"",MAX(1,DATEDIF(TODAY(),E128,"M")+1)),"")</f>
        <v/>
      </c>
      <c r="K128">
        <f>IFERROR(IF(OR(H128&lt;&gt;"Sí",D128&lt;=0,J128=""),"",MAX(0,D128-I128)/J128),"")</f>
        <v/>
      </c>
    </row>
    <row r="129">
      <c r="J129">
        <f>IFERROR(IF(OR(E129="",H129&lt;&gt;"Sí"),"",MAX(1,DATEDIF(TODAY(),E129,"M")+1)),"")</f>
        <v/>
      </c>
      <c r="K129">
        <f>IFERROR(IF(OR(H129&lt;&gt;"Sí",D129&lt;=0,J129=""),"",MAX(0,D129-I129)/J129),"")</f>
        <v/>
      </c>
    </row>
    <row r="130">
      <c r="J130">
        <f>IFERROR(IF(OR(E130="",H130&lt;&gt;"Sí"),"",MAX(1,DATEDIF(TODAY(),E130,"M")+1)),"")</f>
        <v/>
      </c>
      <c r="K130">
        <f>IFERROR(IF(OR(H130&lt;&gt;"Sí",D130&lt;=0,J130=""),"",MAX(0,D130-I130)/J130),"")</f>
        <v/>
      </c>
    </row>
    <row r="131">
      <c r="J131">
        <f>IFERROR(IF(OR(E131="",H131&lt;&gt;"Sí"),"",MAX(1,DATEDIF(TODAY(),E131,"M")+1)),"")</f>
        <v/>
      </c>
      <c r="K131">
        <f>IFERROR(IF(OR(H131&lt;&gt;"Sí",D131&lt;=0,J131=""),"",MAX(0,D131-I131)/J131),"")</f>
        <v/>
      </c>
    </row>
    <row r="132">
      <c r="J132">
        <f>IFERROR(IF(OR(E132="",H132&lt;&gt;"Sí"),"",MAX(1,DATEDIF(TODAY(),E132,"M")+1)),"")</f>
        <v/>
      </c>
      <c r="K132">
        <f>IFERROR(IF(OR(H132&lt;&gt;"Sí",D132&lt;=0,J132=""),"",MAX(0,D132-I132)/J132),"")</f>
        <v/>
      </c>
    </row>
    <row r="133">
      <c r="J133">
        <f>IFERROR(IF(OR(E133="",H133&lt;&gt;"Sí"),"",MAX(1,DATEDIF(TODAY(),E133,"M")+1)),"")</f>
        <v/>
      </c>
      <c r="K133">
        <f>IFERROR(IF(OR(H133&lt;&gt;"Sí",D133&lt;=0,J133=""),"",MAX(0,D133-I133)/J133),"")</f>
        <v/>
      </c>
    </row>
    <row r="134">
      <c r="J134">
        <f>IFERROR(IF(OR(E134="",H134&lt;&gt;"Sí"),"",MAX(1,DATEDIF(TODAY(),E134,"M")+1)),"")</f>
        <v/>
      </c>
      <c r="K134">
        <f>IFERROR(IF(OR(H134&lt;&gt;"Sí",D134&lt;=0,J134=""),"",MAX(0,D134-I134)/J134),"")</f>
        <v/>
      </c>
    </row>
    <row r="135">
      <c r="J135">
        <f>IFERROR(IF(OR(E135="",H135&lt;&gt;"Sí"),"",MAX(1,DATEDIF(TODAY(),E135,"M")+1)),"")</f>
        <v/>
      </c>
      <c r="K135">
        <f>IFERROR(IF(OR(H135&lt;&gt;"Sí",D135&lt;=0,J135=""),"",MAX(0,D135-I135)/J135),"")</f>
        <v/>
      </c>
    </row>
    <row r="136">
      <c r="J136">
        <f>IFERROR(IF(OR(E136="",H136&lt;&gt;"Sí"),"",MAX(1,DATEDIF(TODAY(),E136,"M")+1)),"")</f>
        <v/>
      </c>
      <c r="K136">
        <f>IFERROR(IF(OR(H136&lt;&gt;"Sí",D136&lt;=0,J136=""),"",MAX(0,D136-I136)/J136),"")</f>
        <v/>
      </c>
    </row>
    <row r="137">
      <c r="J137">
        <f>IFERROR(IF(OR(E137="",H137&lt;&gt;"Sí"),"",MAX(1,DATEDIF(TODAY(),E137,"M")+1)),"")</f>
        <v/>
      </c>
      <c r="K137">
        <f>IFERROR(IF(OR(H137&lt;&gt;"Sí",D137&lt;=0,J137=""),"",MAX(0,D137-I137)/J137),"")</f>
        <v/>
      </c>
    </row>
    <row r="138">
      <c r="J138">
        <f>IFERROR(IF(OR(E138="",H138&lt;&gt;"Sí"),"",MAX(1,DATEDIF(TODAY(),E138,"M")+1)),"")</f>
        <v/>
      </c>
      <c r="K138">
        <f>IFERROR(IF(OR(H138&lt;&gt;"Sí",D138&lt;=0,J138=""),"",MAX(0,D138-I138)/J138),"")</f>
        <v/>
      </c>
    </row>
    <row r="139">
      <c r="J139">
        <f>IFERROR(IF(OR(E139="",H139&lt;&gt;"Sí"),"",MAX(1,DATEDIF(TODAY(),E139,"M")+1)),"")</f>
        <v/>
      </c>
      <c r="K139">
        <f>IFERROR(IF(OR(H139&lt;&gt;"Sí",D139&lt;=0,J139=""),"",MAX(0,D139-I139)/J139),"")</f>
        <v/>
      </c>
    </row>
    <row r="140">
      <c r="J140">
        <f>IFERROR(IF(OR(E140="",H140&lt;&gt;"Sí"),"",MAX(1,DATEDIF(TODAY(),E140,"M")+1)),"")</f>
        <v/>
      </c>
      <c r="K140">
        <f>IFERROR(IF(OR(H140&lt;&gt;"Sí",D140&lt;=0,J140=""),"",MAX(0,D140-I140)/J140),"")</f>
        <v/>
      </c>
    </row>
    <row r="141">
      <c r="J141">
        <f>IFERROR(IF(OR(E141="",H141&lt;&gt;"Sí"),"",MAX(1,DATEDIF(TODAY(),E141,"M")+1)),"")</f>
        <v/>
      </c>
      <c r="K141">
        <f>IFERROR(IF(OR(H141&lt;&gt;"Sí",D141&lt;=0,J141=""),"",MAX(0,D141-I141)/J141),"")</f>
        <v/>
      </c>
    </row>
    <row r="142">
      <c r="J142">
        <f>IFERROR(IF(OR(E142="",H142&lt;&gt;"Sí"),"",MAX(1,DATEDIF(TODAY(),E142,"M")+1)),"")</f>
        <v/>
      </c>
      <c r="K142">
        <f>IFERROR(IF(OR(H142&lt;&gt;"Sí",D142&lt;=0,J142=""),"",MAX(0,D142-I142)/J142),"")</f>
        <v/>
      </c>
    </row>
    <row r="143">
      <c r="J143">
        <f>IFERROR(IF(OR(E143="",H143&lt;&gt;"Sí"),"",MAX(1,DATEDIF(TODAY(),E143,"M")+1)),"")</f>
        <v/>
      </c>
      <c r="K143">
        <f>IFERROR(IF(OR(H143&lt;&gt;"Sí",D143&lt;=0,J143=""),"",MAX(0,D143-I143)/J143),"")</f>
        <v/>
      </c>
    </row>
    <row r="144">
      <c r="J144">
        <f>IFERROR(IF(OR(E144="",H144&lt;&gt;"Sí"),"",MAX(1,DATEDIF(TODAY(),E144,"M")+1)),"")</f>
        <v/>
      </c>
      <c r="K144">
        <f>IFERROR(IF(OR(H144&lt;&gt;"Sí",D144&lt;=0,J144=""),"",MAX(0,D144-I144)/J144),"")</f>
        <v/>
      </c>
    </row>
    <row r="145">
      <c r="J145">
        <f>IFERROR(IF(OR(E145="",H145&lt;&gt;"Sí"),"",MAX(1,DATEDIF(TODAY(),E145,"M")+1)),"")</f>
        <v/>
      </c>
      <c r="K145">
        <f>IFERROR(IF(OR(H145&lt;&gt;"Sí",D145&lt;=0,J145=""),"",MAX(0,D145-I145)/J145),"")</f>
        <v/>
      </c>
    </row>
    <row r="146">
      <c r="J146">
        <f>IFERROR(IF(OR(E146="",H146&lt;&gt;"Sí"),"",MAX(1,DATEDIF(TODAY(),E146,"M")+1)),"")</f>
        <v/>
      </c>
      <c r="K146">
        <f>IFERROR(IF(OR(H146&lt;&gt;"Sí",D146&lt;=0,J146=""),"",MAX(0,D146-I146)/J146),"")</f>
        <v/>
      </c>
    </row>
    <row r="147">
      <c r="J147">
        <f>IFERROR(IF(OR(E147="",H147&lt;&gt;"Sí"),"",MAX(1,DATEDIF(TODAY(),E147,"M")+1)),"")</f>
        <v/>
      </c>
      <c r="K147">
        <f>IFERROR(IF(OR(H147&lt;&gt;"Sí",D147&lt;=0,J147=""),"",MAX(0,D147-I147)/J147),"")</f>
        <v/>
      </c>
    </row>
    <row r="148">
      <c r="J148">
        <f>IFERROR(IF(OR(E148="",H148&lt;&gt;"Sí"),"",MAX(1,DATEDIF(TODAY(),E148,"M")+1)),"")</f>
        <v/>
      </c>
      <c r="K148">
        <f>IFERROR(IF(OR(H148&lt;&gt;"Sí",D148&lt;=0,J148=""),"",MAX(0,D148-I148)/J148),"")</f>
        <v/>
      </c>
    </row>
    <row r="149">
      <c r="J149">
        <f>IFERROR(IF(OR(E149="",H149&lt;&gt;"Sí"),"",MAX(1,DATEDIF(TODAY(),E149,"M")+1)),"")</f>
        <v/>
      </c>
      <c r="K149">
        <f>IFERROR(IF(OR(H149&lt;&gt;"Sí",D149&lt;=0,J149=""),"",MAX(0,D149-I149)/J149),"")</f>
        <v/>
      </c>
    </row>
    <row r="150">
      <c r="J150">
        <f>IFERROR(IF(OR(E150="",H150&lt;&gt;"Sí"),"",MAX(1,DATEDIF(TODAY(),E150,"M")+1)),"")</f>
        <v/>
      </c>
      <c r="K150">
        <f>IFERROR(IF(OR(H150&lt;&gt;"Sí",D150&lt;=0,J150=""),"",MAX(0,D150-I150)/J150),"")</f>
        <v/>
      </c>
    </row>
    <row r="151">
      <c r="J151">
        <f>IFERROR(IF(OR(E151="",H151&lt;&gt;"Sí"),"",MAX(1,DATEDIF(TODAY(),E151,"M")+1)),"")</f>
        <v/>
      </c>
      <c r="K151">
        <f>IFERROR(IF(OR(H151&lt;&gt;"Sí",D151&lt;=0,J151=""),"",MAX(0,D151-I151)/J151),"")</f>
        <v/>
      </c>
    </row>
    <row r="152">
      <c r="J152">
        <f>IFERROR(IF(OR(E152="",H152&lt;&gt;"Sí"),"",MAX(1,DATEDIF(TODAY(),E152,"M")+1)),"")</f>
        <v/>
      </c>
      <c r="K152">
        <f>IFERROR(IF(OR(H152&lt;&gt;"Sí",D152&lt;=0,J152=""),"",MAX(0,D152-I152)/J152),"")</f>
        <v/>
      </c>
    </row>
    <row r="153">
      <c r="J153">
        <f>IFERROR(IF(OR(E153="",H153&lt;&gt;"Sí"),"",MAX(1,DATEDIF(TODAY(),E153,"M")+1)),"")</f>
        <v/>
      </c>
      <c r="K153">
        <f>IFERROR(IF(OR(H153&lt;&gt;"Sí",D153&lt;=0,J153=""),"",MAX(0,D153-I153)/J153),"")</f>
        <v/>
      </c>
    </row>
    <row r="154">
      <c r="J154">
        <f>IFERROR(IF(OR(E154="",H154&lt;&gt;"Sí"),"",MAX(1,DATEDIF(TODAY(),E154,"M")+1)),"")</f>
        <v/>
      </c>
      <c r="K154">
        <f>IFERROR(IF(OR(H154&lt;&gt;"Sí",D154&lt;=0,J154=""),"",MAX(0,D154-I154)/J154),"")</f>
        <v/>
      </c>
    </row>
    <row r="155">
      <c r="J155">
        <f>IFERROR(IF(OR(E155="",H155&lt;&gt;"Sí"),"",MAX(1,DATEDIF(TODAY(),E155,"M")+1)),"")</f>
        <v/>
      </c>
      <c r="K155">
        <f>IFERROR(IF(OR(H155&lt;&gt;"Sí",D155&lt;=0,J155=""),"",MAX(0,D155-I155)/J155),"")</f>
        <v/>
      </c>
    </row>
    <row r="156">
      <c r="J156">
        <f>IFERROR(IF(OR(E156="",H156&lt;&gt;"Sí"),"",MAX(1,DATEDIF(TODAY(),E156,"M")+1)),"")</f>
        <v/>
      </c>
      <c r="K156">
        <f>IFERROR(IF(OR(H156&lt;&gt;"Sí",D156&lt;=0,J156=""),"",MAX(0,D156-I156)/J156),"")</f>
        <v/>
      </c>
    </row>
    <row r="157">
      <c r="J157">
        <f>IFERROR(IF(OR(E157="",H157&lt;&gt;"Sí"),"",MAX(1,DATEDIF(TODAY(),E157,"M")+1)),"")</f>
        <v/>
      </c>
      <c r="K157">
        <f>IFERROR(IF(OR(H157&lt;&gt;"Sí",D157&lt;=0,J157=""),"",MAX(0,D157-I157)/J157),"")</f>
        <v/>
      </c>
    </row>
    <row r="158">
      <c r="J158">
        <f>IFERROR(IF(OR(E158="",H158&lt;&gt;"Sí"),"",MAX(1,DATEDIF(TODAY(),E158,"M")+1)),"")</f>
        <v/>
      </c>
      <c r="K158">
        <f>IFERROR(IF(OR(H158&lt;&gt;"Sí",D158&lt;=0,J158=""),"",MAX(0,D158-I158)/J158),"")</f>
        <v/>
      </c>
    </row>
    <row r="159">
      <c r="J159">
        <f>IFERROR(IF(OR(E159="",H159&lt;&gt;"Sí"),"",MAX(1,DATEDIF(TODAY(),E159,"M")+1)),"")</f>
        <v/>
      </c>
      <c r="K159">
        <f>IFERROR(IF(OR(H159&lt;&gt;"Sí",D159&lt;=0,J159=""),"",MAX(0,D159-I159)/J159),"")</f>
        <v/>
      </c>
    </row>
    <row r="160">
      <c r="J160">
        <f>IFERROR(IF(OR(E160="",H160&lt;&gt;"Sí"),"",MAX(1,DATEDIF(TODAY(),E160,"M")+1)),"")</f>
        <v/>
      </c>
      <c r="K160">
        <f>IFERROR(IF(OR(H160&lt;&gt;"Sí",D160&lt;=0,J160=""),"",MAX(0,D160-I160)/J160),"")</f>
        <v/>
      </c>
    </row>
    <row r="161">
      <c r="J161">
        <f>IFERROR(IF(OR(E161="",H161&lt;&gt;"Sí"),"",MAX(1,DATEDIF(TODAY(),E161,"M")+1)),"")</f>
        <v/>
      </c>
      <c r="K161">
        <f>IFERROR(IF(OR(H161&lt;&gt;"Sí",D161&lt;=0,J161=""),"",MAX(0,D161-I161)/J161),"")</f>
        <v/>
      </c>
    </row>
    <row r="162">
      <c r="J162">
        <f>IFERROR(IF(OR(E162="",H162&lt;&gt;"Sí"),"",MAX(1,DATEDIF(TODAY(),E162,"M")+1)),"")</f>
        <v/>
      </c>
      <c r="K162">
        <f>IFERROR(IF(OR(H162&lt;&gt;"Sí",D162&lt;=0,J162=""),"",MAX(0,D162-I162)/J162),"")</f>
        <v/>
      </c>
    </row>
    <row r="163">
      <c r="J163">
        <f>IFERROR(IF(OR(E163="",H163&lt;&gt;"Sí"),"",MAX(1,DATEDIF(TODAY(),E163,"M")+1)),"")</f>
        <v/>
      </c>
      <c r="K163">
        <f>IFERROR(IF(OR(H163&lt;&gt;"Sí",D163&lt;=0,J163=""),"",MAX(0,D163-I163)/J163),"")</f>
        <v/>
      </c>
    </row>
    <row r="164">
      <c r="J164">
        <f>IFERROR(IF(OR(E164="",H164&lt;&gt;"Sí"),"",MAX(1,DATEDIF(TODAY(),E164,"M")+1)),"")</f>
        <v/>
      </c>
      <c r="K164">
        <f>IFERROR(IF(OR(H164&lt;&gt;"Sí",D164&lt;=0,J164=""),"",MAX(0,D164-I164)/J164),"")</f>
        <v/>
      </c>
    </row>
    <row r="165">
      <c r="J165">
        <f>IFERROR(IF(OR(E165="",H165&lt;&gt;"Sí"),"",MAX(1,DATEDIF(TODAY(),E165,"M")+1)),"")</f>
        <v/>
      </c>
      <c r="K165">
        <f>IFERROR(IF(OR(H165&lt;&gt;"Sí",D165&lt;=0,J165=""),"",MAX(0,D165-I165)/J165),"")</f>
        <v/>
      </c>
    </row>
    <row r="166">
      <c r="J166">
        <f>IFERROR(IF(OR(E166="",H166&lt;&gt;"Sí"),"",MAX(1,DATEDIF(TODAY(),E166,"M")+1)),"")</f>
        <v/>
      </c>
      <c r="K166">
        <f>IFERROR(IF(OR(H166&lt;&gt;"Sí",D166&lt;=0,J166=""),"",MAX(0,D166-I166)/J166),"")</f>
        <v/>
      </c>
    </row>
    <row r="167">
      <c r="J167">
        <f>IFERROR(IF(OR(E167="",H167&lt;&gt;"Sí"),"",MAX(1,DATEDIF(TODAY(),E167,"M")+1)),"")</f>
        <v/>
      </c>
      <c r="K167">
        <f>IFERROR(IF(OR(H167&lt;&gt;"Sí",D167&lt;=0,J167=""),"",MAX(0,D167-I167)/J167),"")</f>
        <v/>
      </c>
    </row>
    <row r="168">
      <c r="J168">
        <f>IFERROR(IF(OR(E168="",H168&lt;&gt;"Sí"),"",MAX(1,DATEDIF(TODAY(),E168,"M")+1)),"")</f>
        <v/>
      </c>
      <c r="K168">
        <f>IFERROR(IF(OR(H168&lt;&gt;"Sí",D168&lt;=0,J168=""),"",MAX(0,D168-I168)/J168),"")</f>
        <v/>
      </c>
    </row>
    <row r="169">
      <c r="J169">
        <f>IFERROR(IF(OR(E169="",H169&lt;&gt;"Sí"),"",MAX(1,DATEDIF(TODAY(),E169,"M")+1)),"")</f>
        <v/>
      </c>
      <c r="K169">
        <f>IFERROR(IF(OR(H169&lt;&gt;"Sí",D169&lt;=0,J169=""),"",MAX(0,D169-I169)/J169),"")</f>
        <v/>
      </c>
    </row>
    <row r="170">
      <c r="J170">
        <f>IFERROR(IF(OR(E170="",H170&lt;&gt;"Sí"),"",MAX(1,DATEDIF(TODAY(),E170,"M")+1)),"")</f>
        <v/>
      </c>
      <c r="K170">
        <f>IFERROR(IF(OR(H170&lt;&gt;"Sí",D170&lt;=0,J170=""),"",MAX(0,D170-I170)/J170),"")</f>
        <v/>
      </c>
    </row>
    <row r="171">
      <c r="J171">
        <f>IFERROR(IF(OR(E171="",H171&lt;&gt;"Sí"),"",MAX(1,DATEDIF(TODAY(),E171,"M")+1)),"")</f>
        <v/>
      </c>
      <c r="K171">
        <f>IFERROR(IF(OR(H171&lt;&gt;"Sí",D171&lt;=0,J171=""),"",MAX(0,D171-I171)/J171),"")</f>
        <v/>
      </c>
    </row>
    <row r="172">
      <c r="J172">
        <f>IFERROR(IF(OR(E172="",H172&lt;&gt;"Sí"),"",MAX(1,DATEDIF(TODAY(),E172,"M")+1)),"")</f>
        <v/>
      </c>
      <c r="K172">
        <f>IFERROR(IF(OR(H172&lt;&gt;"Sí",D172&lt;=0,J172=""),"",MAX(0,D172-I172)/J172),"")</f>
        <v/>
      </c>
    </row>
    <row r="173">
      <c r="J173">
        <f>IFERROR(IF(OR(E173="",H173&lt;&gt;"Sí"),"",MAX(1,DATEDIF(TODAY(),E173,"M")+1)),"")</f>
        <v/>
      </c>
      <c r="K173">
        <f>IFERROR(IF(OR(H173&lt;&gt;"Sí",D173&lt;=0,J173=""),"",MAX(0,D173-I173)/J173),"")</f>
        <v/>
      </c>
    </row>
    <row r="174">
      <c r="J174">
        <f>IFERROR(IF(OR(E174="",H174&lt;&gt;"Sí"),"",MAX(1,DATEDIF(TODAY(),E174,"M")+1)),"")</f>
        <v/>
      </c>
      <c r="K174">
        <f>IFERROR(IF(OR(H174&lt;&gt;"Sí",D174&lt;=0,J174=""),"",MAX(0,D174-I174)/J174),"")</f>
        <v/>
      </c>
    </row>
    <row r="175">
      <c r="J175">
        <f>IFERROR(IF(OR(E175="",H175&lt;&gt;"Sí"),"",MAX(1,DATEDIF(TODAY(),E175,"M")+1)),"")</f>
        <v/>
      </c>
      <c r="K175">
        <f>IFERROR(IF(OR(H175&lt;&gt;"Sí",D175&lt;=0,J175=""),"",MAX(0,D175-I175)/J175),"")</f>
        <v/>
      </c>
    </row>
    <row r="176">
      <c r="J176">
        <f>IFERROR(IF(OR(E176="",H176&lt;&gt;"Sí"),"",MAX(1,DATEDIF(TODAY(),E176,"M")+1)),"")</f>
        <v/>
      </c>
      <c r="K176">
        <f>IFERROR(IF(OR(H176&lt;&gt;"Sí",D176&lt;=0,J176=""),"",MAX(0,D176-I176)/J176),"")</f>
        <v/>
      </c>
    </row>
    <row r="177">
      <c r="J177">
        <f>IFERROR(IF(OR(E177="",H177&lt;&gt;"Sí"),"",MAX(1,DATEDIF(TODAY(),E177,"M")+1)),"")</f>
        <v/>
      </c>
      <c r="K177">
        <f>IFERROR(IF(OR(H177&lt;&gt;"Sí",D177&lt;=0,J177=""),"",MAX(0,D177-I177)/J177),"")</f>
        <v/>
      </c>
    </row>
    <row r="178">
      <c r="J178">
        <f>IFERROR(IF(OR(E178="",H178&lt;&gt;"Sí"),"",MAX(1,DATEDIF(TODAY(),E178,"M")+1)),"")</f>
        <v/>
      </c>
      <c r="K178">
        <f>IFERROR(IF(OR(H178&lt;&gt;"Sí",D178&lt;=0,J178=""),"",MAX(0,D178-I178)/J178),"")</f>
        <v/>
      </c>
    </row>
    <row r="179">
      <c r="J179">
        <f>IFERROR(IF(OR(E179="",H179&lt;&gt;"Sí"),"",MAX(1,DATEDIF(TODAY(),E179,"M")+1)),"")</f>
        <v/>
      </c>
      <c r="K179">
        <f>IFERROR(IF(OR(H179&lt;&gt;"Sí",D179&lt;=0,J179=""),"",MAX(0,D179-I179)/J179),"")</f>
        <v/>
      </c>
    </row>
    <row r="180">
      <c r="J180">
        <f>IFERROR(IF(OR(E180="",H180&lt;&gt;"Sí"),"",MAX(1,DATEDIF(TODAY(),E180,"M")+1)),"")</f>
        <v/>
      </c>
      <c r="K180">
        <f>IFERROR(IF(OR(H180&lt;&gt;"Sí",D180&lt;=0,J180=""),"",MAX(0,D180-I180)/J180),"")</f>
        <v/>
      </c>
    </row>
    <row r="181">
      <c r="J181">
        <f>IFERROR(IF(OR(E181="",H181&lt;&gt;"Sí"),"",MAX(1,DATEDIF(TODAY(),E181,"M")+1)),"")</f>
        <v/>
      </c>
      <c r="K181">
        <f>IFERROR(IF(OR(H181&lt;&gt;"Sí",D181&lt;=0,J181=""),"",MAX(0,D181-I181)/J181),"")</f>
        <v/>
      </c>
    </row>
    <row r="182">
      <c r="J182">
        <f>IFERROR(IF(OR(E182="",H182&lt;&gt;"Sí"),"",MAX(1,DATEDIF(TODAY(),E182,"M")+1)),"")</f>
        <v/>
      </c>
      <c r="K182">
        <f>IFERROR(IF(OR(H182&lt;&gt;"Sí",D182&lt;=0,J182=""),"",MAX(0,D182-I182)/J182),"")</f>
        <v/>
      </c>
    </row>
    <row r="183">
      <c r="J183">
        <f>IFERROR(IF(OR(E183="",H183&lt;&gt;"Sí"),"",MAX(1,DATEDIF(TODAY(),E183,"M")+1)),"")</f>
        <v/>
      </c>
      <c r="K183">
        <f>IFERROR(IF(OR(H183&lt;&gt;"Sí",D183&lt;=0,J183=""),"",MAX(0,D183-I183)/J183),"")</f>
        <v/>
      </c>
    </row>
    <row r="184">
      <c r="J184">
        <f>IFERROR(IF(OR(E184="",H184&lt;&gt;"Sí"),"",MAX(1,DATEDIF(TODAY(),E184,"M")+1)),"")</f>
        <v/>
      </c>
      <c r="K184">
        <f>IFERROR(IF(OR(H184&lt;&gt;"Sí",D184&lt;=0,J184=""),"",MAX(0,D184-I184)/J184),"")</f>
        <v/>
      </c>
    </row>
    <row r="185">
      <c r="J185">
        <f>IFERROR(IF(OR(E185="",H185&lt;&gt;"Sí"),"",MAX(1,DATEDIF(TODAY(),E185,"M")+1)),"")</f>
        <v/>
      </c>
      <c r="K185">
        <f>IFERROR(IF(OR(H185&lt;&gt;"Sí",D185&lt;=0,J185=""),"",MAX(0,D185-I185)/J185),"")</f>
        <v/>
      </c>
    </row>
    <row r="186">
      <c r="J186">
        <f>IFERROR(IF(OR(E186="",H186&lt;&gt;"Sí"),"",MAX(1,DATEDIF(TODAY(),E186,"M")+1)),"")</f>
        <v/>
      </c>
      <c r="K186">
        <f>IFERROR(IF(OR(H186&lt;&gt;"Sí",D186&lt;=0,J186=""),"",MAX(0,D186-I186)/J186),"")</f>
        <v/>
      </c>
    </row>
    <row r="187">
      <c r="J187">
        <f>IFERROR(IF(OR(E187="",H187&lt;&gt;"Sí"),"",MAX(1,DATEDIF(TODAY(),E187,"M")+1)),"")</f>
        <v/>
      </c>
      <c r="K187">
        <f>IFERROR(IF(OR(H187&lt;&gt;"Sí",D187&lt;=0,J187=""),"",MAX(0,D187-I187)/J187),"")</f>
        <v/>
      </c>
    </row>
    <row r="188">
      <c r="J188">
        <f>IFERROR(IF(OR(E188="",H188&lt;&gt;"Sí"),"",MAX(1,DATEDIF(TODAY(),E188,"M")+1)),"")</f>
        <v/>
      </c>
      <c r="K188">
        <f>IFERROR(IF(OR(H188&lt;&gt;"Sí",D188&lt;=0,J188=""),"",MAX(0,D188-I188)/J188),"")</f>
        <v/>
      </c>
    </row>
    <row r="189">
      <c r="J189">
        <f>IFERROR(IF(OR(E189="",H189&lt;&gt;"Sí"),"",MAX(1,DATEDIF(TODAY(),E189,"M")+1)),"")</f>
        <v/>
      </c>
      <c r="K189">
        <f>IFERROR(IF(OR(H189&lt;&gt;"Sí",D189&lt;=0,J189=""),"",MAX(0,D189-I189)/J189),"")</f>
        <v/>
      </c>
    </row>
    <row r="190">
      <c r="J190">
        <f>IFERROR(IF(OR(E190="",H190&lt;&gt;"Sí"),"",MAX(1,DATEDIF(TODAY(),E190,"M")+1)),"")</f>
        <v/>
      </c>
      <c r="K190">
        <f>IFERROR(IF(OR(H190&lt;&gt;"Sí",D190&lt;=0,J190=""),"",MAX(0,D190-I190)/J190),"")</f>
        <v/>
      </c>
    </row>
    <row r="191">
      <c r="J191">
        <f>IFERROR(IF(OR(E191="",H191&lt;&gt;"Sí"),"",MAX(1,DATEDIF(TODAY(),E191,"M")+1)),"")</f>
        <v/>
      </c>
      <c r="K191">
        <f>IFERROR(IF(OR(H191&lt;&gt;"Sí",D191&lt;=0,J191=""),"",MAX(0,D191-I191)/J191),"")</f>
        <v/>
      </c>
    </row>
    <row r="192">
      <c r="J192">
        <f>IFERROR(IF(OR(E192="",H192&lt;&gt;"Sí"),"",MAX(1,DATEDIF(TODAY(),E192,"M")+1)),"")</f>
        <v/>
      </c>
      <c r="K192">
        <f>IFERROR(IF(OR(H192&lt;&gt;"Sí",D192&lt;=0,J192=""),"",MAX(0,D192-I192)/J192),"")</f>
        <v/>
      </c>
    </row>
    <row r="193">
      <c r="J193">
        <f>IFERROR(IF(OR(E193="",H193&lt;&gt;"Sí"),"",MAX(1,DATEDIF(TODAY(),E193,"M")+1)),"")</f>
        <v/>
      </c>
      <c r="K193">
        <f>IFERROR(IF(OR(H193&lt;&gt;"Sí",D193&lt;=0,J193=""),"",MAX(0,D193-I193)/J193),"")</f>
        <v/>
      </c>
    </row>
    <row r="194">
      <c r="J194">
        <f>IFERROR(IF(OR(E194="",H194&lt;&gt;"Sí"),"",MAX(1,DATEDIF(TODAY(),E194,"M")+1)),"")</f>
        <v/>
      </c>
      <c r="K194">
        <f>IFERROR(IF(OR(H194&lt;&gt;"Sí",D194&lt;=0,J194=""),"",MAX(0,D194-I194)/J194),"")</f>
        <v/>
      </c>
    </row>
    <row r="195">
      <c r="J195">
        <f>IFERROR(IF(OR(E195="",H195&lt;&gt;"Sí"),"",MAX(1,DATEDIF(TODAY(),E195,"M")+1)),"")</f>
        <v/>
      </c>
      <c r="K195">
        <f>IFERROR(IF(OR(H195&lt;&gt;"Sí",D195&lt;=0,J195=""),"",MAX(0,D195-I195)/J195),"")</f>
        <v/>
      </c>
    </row>
    <row r="196">
      <c r="J196">
        <f>IFERROR(IF(OR(E196="",H196&lt;&gt;"Sí"),"",MAX(1,DATEDIF(TODAY(),E196,"M")+1)),"")</f>
        <v/>
      </c>
      <c r="K196">
        <f>IFERROR(IF(OR(H196&lt;&gt;"Sí",D196&lt;=0,J196=""),"",MAX(0,D196-I196)/J196),"")</f>
        <v/>
      </c>
    </row>
    <row r="197">
      <c r="J197">
        <f>IFERROR(IF(OR(E197="",H197&lt;&gt;"Sí"),"",MAX(1,DATEDIF(TODAY(),E197,"M")+1)),"")</f>
        <v/>
      </c>
      <c r="K197">
        <f>IFERROR(IF(OR(H197&lt;&gt;"Sí",D197&lt;=0,J197=""),"",MAX(0,D197-I197)/J197),"")</f>
        <v/>
      </c>
    </row>
    <row r="198">
      <c r="J198">
        <f>IFERROR(IF(OR(E198="",H198&lt;&gt;"Sí"),"",MAX(1,DATEDIF(TODAY(),E198,"M")+1)),"")</f>
        <v/>
      </c>
      <c r="K198">
        <f>IFERROR(IF(OR(H198&lt;&gt;"Sí",D198&lt;=0,J198=""),"",MAX(0,D198-I198)/J198),"")</f>
        <v/>
      </c>
    </row>
    <row r="199">
      <c r="J199">
        <f>IFERROR(IF(OR(E199="",H199&lt;&gt;"Sí"),"",MAX(1,DATEDIF(TODAY(),E199,"M")+1)),"")</f>
        <v/>
      </c>
      <c r="K199">
        <f>IFERROR(IF(OR(H199&lt;&gt;"Sí",D199&lt;=0,J199=""),"",MAX(0,D199-I199)/J199),"")</f>
        <v/>
      </c>
    </row>
    <row r="200">
      <c r="J200">
        <f>IFERROR(IF(OR(E200="",H200&lt;&gt;"Sí"),"",MAX(1,DATEDIF(TODAY(),E200,"M")+1)),"")</f>
        <v/>
      </c>
      <c r="K200">
        <f>IFERROR(IF(OR(H200&lt;&gt;"Sí",D200&lt;=0,J200=""),"",MAX(0,D200-I200)/J200),"")</f>
        <v/>
      </c>
    </row>
    <row r="201">
      <c r="J201">
        <f>IFERROR(IF(OR(E201="",H201&lt;&gt;"Sí"),"",MAX(1,DATEDIF(TODAY(),E201,"M")+1)),"")</f>
        <v/>
      </c>
      <c r="K201">
        <f>IFERROR(IF(OR(H201&lt;&gt;"Sí",D201&lt;=0,J201=""),"",MAX(0,D201-I201)/J201),"")</f>
        <v/>
      </c>
    </row>
    <row r="202">
      <c r="J202">
        <f>IFERROR(IF(OR(E202="",H202&lt;&gt;"Sí"),"",MAX(1,DATEDIF(TODAY(),E202,"M")+1)),"")</f>
        <v/>
      </c>
      <c r="K202">
        <f>IFERROR(IF(OR(H202&lt;&gt;"Sí",D202&lt;=0,J202=""),"",MAX(0,D202-I202)/J202),"")</f>
        <v/>
      </c>
    </row>
    <row r="203">
      <c r="J203">
        <f>IFERROR(IF(OR(E203="",H203&lt;&gt;"Sí"),"",MAX(1,DATEDIF(TODAY(),E203,"M")+1)),"")</f>
        <v/>
      </c>
      <c r="K203">
        <f>IFERROR(IF(OR(H203&lt;&gt;"Sí",D203&lt;=0,J203=""),"",MAX(0,D203-I203)/J203),"")</f>
        <v/>
      </c>
    </row>
    <row r="204">
      <c r="J204">
        <f>IFERROR(IF(OR(E204="",H204&lt;&gt;"Sí"),"",MAX(1,DATEDIF(TODAY(),E204,"M")+1)),"")</f>
        <v/>
      </c>
      <c r="K204">
        <f>IFERROR(IF(OR(H204&lt;&gt;"Sí",D204&lt;=0,J204=""),"",MAX(0,D204-I204)/J204),"")</f>
        <v/>
      </c>
    </row>
    <row r="205">
      <c r="J205">
        <f>IFERROR(IF(OR(E205="",H205&lt;&gt;"Sí"),"",MAX(1,DATEDIF(TODAY(),E205,"M")+1)),"")</f>
        <v/>
      </c>
      <c r="K205">
        <f>IFERROR(IF(OR(H205&lt;&gt;"Sí",D205&lt;=0,J205=""),"",MAX(0,D205-I205)/J205),"")</f>
        <v/>
      </c>
    </row>
    <row r="206">
      <c r="J206">
        <f>IFERROR(IF(OR(E206="",H206&lt;&gt;"Sí"),"",MAX(1,DATEDIF(TODAY(),E206,"M")+1)),"")</f>
        <v/>
      </c>
      <c r="K206">
        <f>IFERROR(IF(OR(H206&lt;&gt;"Sí",D206&lt;=0,J206=""),"",MAX(0,D206-I206)/J206),"")</f>
        <v/>
      </c>
    </row>
    <row r="207">
      <c r="J207">
        <f>IFERROR(IF(OR(E207="",H207&lt;&gt;"Sí"),"",MAX(1,DATEDIF(TODAY(),E207,"M")+1)),"")</f>
        <v/>
      </c>
      <c r="K207">
        <f>IFERROR(IF(OR(H207&lt;&gt;"Sí",D207&lt;=0,J207=""),"",MAX(0,D207-I207)/J207),"")</f>
        <v/>
      </c>
    </row>
    <row r="208">
      <c r="J208">
        <f>IFERROR(IF(OR(E208="",H208&lt;&gt;"Sí"),"",MAX(1,DATEDIF(TODAY(),E208,"M")+1)),"")</f>
        <v/>
      </c>
      <c r="K208">
        <f>IFERROR(IF(OR(H208&lt;&gt;"Sí",D208&lt;=0,J208=""),"",MAX(0,D208-I208)/J208),"")</f>
        <v/>
      </c>
    </row>
    <row r="209">
      <c r="J209">
        <f>IFERROR(IF(OR(E209="",H209&lt;&gt;"Sí"),"",MAX(1,DATEDIF(TODAY(),E209,"M")+1)),"")</f>
        <v/>
      </c>
      <c r="K209">
        <f>IFERROR(IF(OR(H209&lt;&gt;"Sí",D209&lt;=0,J209=""),"",MAX(0,D209-I209)/J209),"")</f>
        <v/>
      </c>
    </row>
    <row r="210">
      <c r="J210">
        <f>IFERROR(IF(OR(E210="",H210&lt;&gt;"Sí"),"",MAX(1,DATEDIF(TODAY(),E210,"M")+1)),"")</f>
        <v/>
      </c>
      <c r="K210">
        <f>IFERROR(IF(OR(H210&lt;&gt;"Sí",D210&lt;=0,J210=""),"",MAX(0,D210-I210)/J210),"")</f>
        <v/>
      </c>
    </row>
    <row r="211">
      <c r="J211">
        <f>IFERROR(IF(OR(E211="",H211&lt;&gt;"Sí"),"",MAX(1,DATEDIF(TODAY(),E211,"M")+1)),"")</f>
        <v/>
      </c>
      <c r="K211">
        <f>IFERROR(IF(OR(H211&lt;&gt;"Sí",D211&lt;=0,J211=""),"",MAX(0,D211-I211)/J211),"")</f>
        <v/>
      </c>
    </row>
    <row r="212">
      <c r="J212">
        <f>IFERROR(IF(OR(E212="",H212&lt;&gt;"Sí"),"",MAX(1,DATEDIF(TODAY(),E212,"M")+1)),"")</f>
        <v/>
      </c>
      <c r="K212">
        <f>IFERROR(IF(OR(H212&lt;&gt;"Sí",D212&lt;=0,J212=""),"",MAX(0,D212-I212)/J212),"")</f>
        <v/>
      </c>
    </row>
    <row r="213">
      <c r="J213">
        <f>IFERROR(IF(OR(E213="",H213&lt;&gt;"Sí"),"",MAX(1,DATEDIF(TODAY(),E213,"M")+1)),"")</f>
        <v/>
      </c>
      <c r="K213">
        <f>IFERROR(IF(OR(H213&lt;&gt;"Sí",D213&lt;=0,J213=""),"",MAX(0,D213-I213)/J213),"")</f>
        <v/>
      </c>
    </row>
    <row r="214">
      <c r="J214">
        <f>IFERROR(IF(OR(E214="",H214&lt;&gt;"Sí"),"",MAX(1,DATEDIF(TODAY(),E214,"M")+1)),"")</f>
        <v/>
      </c>
      <c r="K214">
        <f>IFERROR(IF(OR(H214&lt;&gt;"Sí",D214&lt;=0,J214=""),"",MAX(0,D214-I214)/J214),"")</f>
        <v/>
      </c>
    </row>
    <row r="215">
      <c r="J215">
        <f>IFERROR(IF(OR(E215="",H215&lt;&gt;"Sí"),"",MAX(1,DATEDIF(TODAY(),E215,"M")+1)),"")</f>
        <v/>
      </c>
      <c r="K215">
        <f>IFERROR(IF(OR(H215&lt;&gt;"Sí",D215&lt;=0,J215=""),"",MAX(0,D215-I215)/J215),"")</f>
        <v/>
      </c>
    </row>
    <row r="216">
      <c r="J216">
        <f>IFERROR(IF(OR(E216="",H216&lt;&gt;"Sí"),"",MAX(1,DATEDIF(TODAY(),E216,"M")+1)),"")</f>
        <v/>
      </c>
      <c r="K216">
        <f>IFERROR(IF(OR(H216&lt;&gt;"Sí",D216&lt;=0,J216=""),"",MAX(0,D216-I216)/J216),"")</f>
        <v/>
      </c>
    </row>
    <row r="217">
      <c r="J217">
        <f>IFERROR(IF(OR(E217="",H217&lt;&gt;"Sí"),"",MAX(1,DATEDIF(TODAY(),E217,"M")+1)),"")</f>
        <v/>
      </c>
      <c r="K217">
        <f>IFERROR(IF(OR(H217&lt;&gt;"Sí",D217&lt;=0,J217=""),"",MAX(0,D217-I217)/J217),"")</f>
        <v/>
      </c>
    </row>
    <row r="218">
      <c r="J218">
        <f>IFERROR(IF(OR(E218="",H218&lt;&gt;"Sí"),"",MAX(1,DATEDIF(TODAY(),E218,"M")+1)),"")</f>
        <v/>
      </c>
      <c r="K218">
        <f>IFERROR(IF(OR(H218&lt;&gt;"Sí",D218&lt;=0,J218=""),"",MAX(0,D218-I218)/J218),"")</f>
        <v/>
      </c>
    </row>
    <row r="219">
      <c r="J219">
        <f>IFERROR(IF(OR(E219="",H219&lt;&gt;"Sí"),"",MAX(1,DATEDIF(TODAY(),E219,"M")+1)),"")</f>
        <v/>
      </c>
      <c r="K219">
        <f>IFERROR(IF(OR(H219&lt;&gt;"Sí",D219&lt;=0,J219=""),"",MAX(0,D219-I219)/J219),"")</f>
        <v/>
      </c>
    </row>
    <row r="220">
      <c r="J220">
        <f>IFERROR(IF(OR(E220="",H220&lt;&gt;"Sí"),"",MAX(1,DATEDIF(TODAY(),E220,"M")+1)),"")</f>
        <v/>
      </c>
      <c r="K220">
        <f>IFERROR(IF(OR(H220&lt;&gt;"Sí",D220&lt;=0,J220=""),"",MAX(0,D220-I220)/J220),"")</f>
        <v/>
      </c>
    </row>
    <row r="221">
      <c r="J221">
        <f>IFERROR(IF(OR(E221="",H221&lt;&gt;"Sí"),"",MAX(1,DATEDIF(TODAY(),E221,"M")+1)),"")</f>
        <v/>
      </c>
      <c r="K221">
        <f>IFERROR(IF(OR(H221&lt;&gt;"Sí",D221&lt;=0,J221=""),"",MAX(0,D221-I221)/J221),"")</f>
        <v/>
      </c>
    </row>
    <row r="222">
      <c r="J222">
        <f>IFERROR(IF(OR(E222="",H222&lt;&gt;"Sí"),"",MAX(1,DATEDIF(TODAY(),E222,"M")+1)),"")</f>
        <v/>
      </c>
      <c r="K222">
        <f>IFERROR(IF(OR(H222&lt;&gt;"Sí",D222&lt;=0,J222=""),"",MAX(0,D222-I222)/J222),"")</f>
        <v/>
      </c>
    </row>
    <row r="223">
      <c r="J223">
        <f>IFERROR(IF(OR(E223="",H223&lt;&gt;"Sí"),"",MAX(1,DATEDIF(TODAY(),E223,"M")+1)),"")</f>
        <v/>
      </c>
      <c r="K223">
        <f>IFERROR(IF(OR(H223&lt;&gt;"Sí",D223&lt;=0,J223=""),"",MAX(0,D223-I223)/J223),"")</f>
        <v/>
      </c>
    </row>
    <row r="224">
      <c r="J224">
        <f>IFERROR(IF(OR(E224="",H224&lt;&gt;"Sí"),"",MAX(1,DATEDIF(TODAY(),E224,"M")+1)),"")</f>
        <v/>
      </c>
      <c r="K224">
        <f>IFERROR(IF(OR(H224&lt;&gt;"Sí",D224&lt;=0,J224=""),"",MAX(0,D224-I224)/J224),"")</f>
        <v/>
      </c>
    </row>
    <row r="225">
      <c r="J225">
        <f>IFERROR(IF(OR(E225="",H225&lt;&gt;"Sí"),"",MAX(1,DATEDIF(TODAY(),E225,"M")+1)),"")</f>
        <v/>
      </c>
      <c r="K225">
        <f>IFERROR(IF(OR(H225&lt;&gt;"Sí",D225&lt;=0,J225=""),"",MAX(0,D225-I225)/J225),"")</f>
        <v/>
      </c>
    </row>
    <row r="226">
      <c r="J226">
        <f>IFERROR(IF(OR(E226="",H226&lt;&gt;"Sí"),"",MAX(1,DATEDIF(TODAY(),E226,"M")+1)),"")</f>
        <v/>
      </c>
      <c r="K226">
        <f>IFERROR(IF(OR(H226&lt;&gt;"Sí",D226&lt;=0,J226=""),"",MAX(0,D226-I226)/J226),"")</f>
        <v/>
      </c>
    </row>
    <row r="227">
      <c r="J227">
        <f>IFERROR(IF(OR(E227="",H227&lt;&gt;"Sí"),"",MAX(1,DATEDIF(TODAY(),E227,"M")+1)),"")</f>
        <v/>
      </c>
      <c r="K227">
        <f>IFERROR(IF(OR(H227&lt;&gt;"Sí",D227&lt;=0,J227=""),"",MAX(0,D227-I227)/J227),"")</f>
        <v/>
      </c>
    </row>
    <row r="228">
      <c r="J228">
        <f>IFERROR(IF(OR(E228="",H228&lt;&gt;"Sí"),"",MAX(1,DATEDIF(TODAY(),E228,"M")+1)),"")</f>
        <v/>
      </c>
      <c r="K228">
        <f>IFERROR(IF(OR(H228&lt;&gt;"Sí",D228&lt;=0,J228=""),"",MAX(0,D228-I228)/J228),"")</f>
        <v/>
      </c>
    </row>
    <row r="229">
      <c r="J229">
        <f>IFERROR(IF(OR(E229="",H229&lt;&gt;"Sí"),"",MAX(1,DATEDIF(TODAY(),E229,"M")+1)),"")</f>
        <v/>
      </c>
      <c r="K229">
        <f>IFERROR(IF(OR(H229&lt;&gt;"Sí",D229&lt;=0,J229=""),"",MAX(0,D229-I229)/J229),"")</f>
        <v/>
      </c>
    </row>
    <row r="230">
      <c r="J230">
        <f>IFERROR(IF(OR(E230="",H230&lt;&gt;"Sí"),"",MAX(1,DATEDIF(TODAY(),E230,"M")+1)),"")</f>
        <v/>
      </c>
      <c r="K230">
        <f>IFERROR(IF(OR(H230&lt;&gt;"Sí",D230&lt;=0,J230=""),"",MAX(0,D230-I230)/J230),"")</f>
        <v/>
      </c>
    </row>
    <row r="231">
      <c r="J231">
        <f>IFERROR(IF(OR(E231="",H231&lt;&gt;"Sí"),"",MAX(1,DATEDIF(TODAY(),E231,"M")+1)),"")</f>
        <v/>
      </c>
      <c r="K231">
        <f>IFERROR(IF(OR(H231&lt;&gt;"Sí",D231&lt;=0,J231=""),"",MAX(0,D231-I231)/J231),"")</f>
        <v/>
      </c>
    </row>
    <row r="232">
      <c r="J232">
        <f>IFERROR(IF(OR(E232="",H232&lt;&gt;"Sí"),"",MAX(1,DATEDIF(TODAY(),E232,"M")+1)),"")</f>
        <v/>
      </c>
      <c r="K232">
        <f>IFERROR(IF(OR(H232&lt;&gt;"Sí",D232&lt;=0,J232=""),"",MAX(0,D232-I232)/J232),"")</f>
        <v/>
      </c>
    </row>
    <row r="233">
      <c r="J233">
        <f>IFERROR(IF(OR(E233="",H233&lt;&gt;"Sí"),"",MAX(1,DATEDIF(TODAY(),E233,"M")+1)),"")</f>
        <v/>
      </c>
      <c r="K233">
        <f>IFERROR(IF(OR(H233&lt;&gt;"Sí",D233&lt;=0,J233=""),"",MAX(0,D233-I233)/J233),"")</f>
        <v/>
      </c>
    </row>
    <row r="234">
      <c r="J234">
        <f>IFERROR(IF(OR(E234="",H234&lt;&gt;"Sí"),"",MAX(1,DATEDIF(TODAY(),E234,"M")+1)),"")</f>
        <v/>
      </c>
      <c r="K234">
        <f>IFERROR(IF(OR(H234&lt;&gt;"Sí",D234&lt;=0,J234=""),"",MAX(0,D234-I234)/J234),"")</f>
        <v/>
      </c>
    </row>
    <row r="235">
      <c r="J235">
        <f>IFERROR(IF(OR(E235="",H235&lt;&gt;"Sí"),"",MAX(1,DATEDIF(TODAY(),E235,"M")+1)),"")</f>
        <v/>
      </c>
      <c r="K235">
        <f>IFERROR(IF(OR(H235&lt;&gt;"Sí",D235&lt;=0,J235=""),"",MAX(0,D235-I235)/J235),"")</f>
        <v/>
      </c>
    </row>
    <row r="236">
      <c r="J236">
        <f>IFERROR(IF(OR(E236="",H236&lt;&gt;"Sí"),"",MAX(1,DATEDIF(TODAY(),E236,"M")+1)),"")</f>
        <v/>
      </c>
      <c r="K236">
        <f>IFERROR(IF(OR(H236&lt;&gt;"Sí",D236&lt;=0,J236=""),"",MAX(0,D236-I236)/J236),"")</f>
        <v/>
      </c>
    </row>
    <row r="237">
      <c r="J237">
        <f>IFERROR(IF(OR(E237="",H237&lt;&gt;"Sí"),"",MAX(1,DATEDIF(TODAY(),E237,"M")+1)),"")</f>
        <v/>
      </c>
      <c r="K237">
        <f>IFERROR(IF(OR(H237&lt;&gt;"Sí",D237&lt;=0,J237=""),"",MAX(0,D237-I237)/J237),"")</f>
        <v/>
      </c>
    </row>
    <row r="238">
      <c r="J238">
        <f>IFERROR(IF(OR(E238="",H238&lt;&gt;"Sí"),"",MAX(1,DATEDIF(TODAY(),E238,"M")+1)),"")</f>
        <v/>
      </c>
      <c r="K238">
        <f>IFERROR(IF(OR(H238&lt;&gt;"Sí",D238&lt;=0,J238=""),"",MAX(0,D238-I238)/J238),"")</f>
        <v/>
      </c>
    </row>
    <row r="239">
      <c r="J239">
        <f>IFERROR(IF(OR(E239="",H239&lt;&gt;"Sí"),"",MAX(1,DATEDIF(TODAY(),E239,"M")+1)),"")</f>
        <v/>
      </c>
      <c r="K239">
        <f>IFERROR(IF(OR(H239&lt;&gt;"Sí",D239&lt;=0,J239=""),"",MAX(0,D239-I239)/J239),"")</f>
        <v/>
      </c>
    </row>
    <row r="240">
      <c r="J240">
        <f>IFERROR(IF(OR(E240="",H240&lt;&gt;"Sí"),"",MAX(1,DATEDIF(TODAY(),E240,"M")+1)),"")</f>
        <v/>
      </c>
      <c r="K240">
        <f>IFERROR(IF(OR(H240&lt;&gt;"Sí",D240&lt;=0,J240=""),"",MAX(0,D240-I240)/J240),"")</f>
        <v/>
      </c>
    </row>
    <row r="241">
      <c r="J241">
        <f>IFERROR(IF(OR(E241="",H241&lt;&gt;"Sí"),"",MAX(1,DATEDIF(TODAY(),E241,"M")+1)),"")</f>
        <v/>
      </c>
      <c r="K241">
        <f>IFERROR(IF(OR(H241&lt;&gt;"Sí",D241&lt;=0,J241=""),"",MAX(0,D241-I241)/J241),"")</f>
        <v/>
      </c>
    </row>
    <row r="242">
      <c r="J242">
        <f>IFERROR(IF(OR(E242="",H242&lt;&gt;"Sí"),"",MAX(1,DATEDIF(TODAY(),E242,"M")+1)),"")</f>
        <v/>
      </c>
      <c r="K242">
        <f>IFERROR(IF(OR(H242&lt;&gt;"Sí",D242&lt;=0,J242=""),"",MAX(0,D242-I242)/J242),"")</f>
        <v/>
      </c>
    </row>
    <row r="243">
      <c r="J243">
        <f>IFERROR(IF(OR(E243="",H243&lt;&gt;"Sí"),"",MAX(1,DATEDIF(TODAY(),E243,"M")+1)),"")</f>
        <v/>
      </c>
      <c r="K243">
        <f>IFERROR(IF(OR(H243&lt;&gt;"Sí",D243&lt;=0,J243=""),"",MAX(0,D243-I243)/J243),"")</f>
        <v/>
      </c>
    </row>
    <row r="244">
      <c r="J244">
        <f>IFERROR(IF(OR(E244="",H244&lt;&gt;"Sí"),"",MAX(1,DATEDIF(TODAY(),E244,"M")+1)),"")</f>
        <v/>
      </c>
      <c r="K244">
        <f>IFERROR(IF(OR(H244&lt;&gt;"Sí",D244&lt;=0,J244=""),"",MAX(0,D244-I244)/J244),"")</f>
        <v/>
      </c>
    </row>
    <row r="245">
      <c r="J245">
        <f>IFERROR(IF(OR(E245="",H245&lt;&gt;"Sí"),"",MAX(1,DATEDIF(TODAY(),E245,"M")+1)),"")</f>
        <v/>
      </c>
      <c r="K245">
        <f>IFERROR(IF(OR(H245&lt;&gt;"Sí",D245&lt;=0,J245=""),"",MAX(0,D245-I245)/J245),"")</f>
        <v/>
      </c>
    </row>
    <row r="246">
      <c r="J246">
        <f>IFERROR(IF(OR(E246="",H246&lt;&gt;"Sí"),"",MAX(1,DATEDIF(TODAY(),E246,"M")+1)),"")</f>
        <v/>
      </c>
      <c r="K246">
        <f>IFERROR(IF(OR(H246&lt;&gt;"Sí",D246&lt;=0,J246=""),"",MAX(0,D246-I246)/J246),"")</f>
        <v/>
      </c>
    </row>
    <row r="247">
      <c r="J247">
        <f>IFERROR(IF(OR(E247="",H247&lt;&gt;"Sí"),"",MAX(1,DATEDIF(TODAY(),E247,"M")+1)),"")</f>
        <v/>
      </c>
      <c r="K247">
        <f>IFERROR(IF(OR(H247&lt;&gt;"Sí",D247&lt;=0,J247=""),"",MAX(0,D247-I247)/J247),"")</f>
        <v/>
      </c>
    </row>
    <row r="248">
      <c r="J248">
        <f>IFERROR(IF(OR(E248="",H248&lt;&gt;"Sí"),"",MAX(1,DATEDIF(TODAY(),E248,"M")+1)),"")</f>
        <v/>
      </c>
      <c r="K248">
        <f>IFERROR(IF(OR(H248&lt;&gt;"Sí",D248&lt;=0,J248=""),"",MAX(0,D248-I248)/J248),"")</f>
        <v/>
      </c>
    </row>
    <row r="249">
      <c r="J249">
        <f>IFERROR(IF(OR(E249="",H249&lt;&gt;"Sí"),"",MAX(1,DATEDIF(TODAY(),E249,"M")+1)),"")</f>
        <v/>
      </c>
      <c r="K249">
        <f>IFERROR(IF(OR(H249&lt;&gt;"Sí",D249&lt;=0,J249=""),"",MAX(0,D249-I249)/J249),"")</f>
        <v/>
      </c>
    </row>
    <row r="250">
      <c r="J250">
        <f>IFERROR(IF(OR(E250="",H250&lt;&gt;"Sí"),"",MAX(1,DATEDIF(TODAY(),E250,"M")+1)),"")</f>
        <v/>
      </c>
      <c r="K250">
        <f>IFERROR(IF(OR(H250&lt;&gt;"Sí",D250&lt;=0,J250=""),"",MAX(0,D250-I250)/J250),"")</f>
        <v/>
      </c>
    </row>
    <row r="251">
      <c r="J251">
        <f>IFERROR(IF(OR(E251="",H251&lt;&gt;"Sí"),"",MAX(1,DATEDIF(TODAY(),E251,"M")+1)),"")</f>
        <v/>
      </c>
      <c r="K251">
        <f>IFERROR(IF(OR(H251&lt;&gt;"Sí",D251&lt;=0,J251=""),"",MAX(0,D251-I251)/J251),"")</f>
        <v/>
      </c>
    </row>
    <row r="252">
      <c r="J252">
        <f>IFERROR(IF(OR(E252="",H252&lt;&gt;"Sí"),"",MAX(1,DATEDIF(TODAY(),E252,"M")+1)),"")</f>
        <v/>
      </c>
      <c r="K252">
        <f>IFERROR(IF(OR(H252&lt;&gt;"Sí",D252&lt;=0,J252=""),"",MAX(0,D252-I252)/J252),"")</f>
        <v/>
      </c>
    </row>
    <row r="253">
      <c r="J253">
        <f>IFERROR(IF(OR(E253="",H253&lt;&gt;"Sí"),"",MAX(1,DATEDIF(TODAY(),E253,"M")+1)),"")</f>
        <v/>
      </c>
      <c r="K253">
        <f>IFERROR(IF(OR(H253&lt;&gt;"Sí",D253&lt;=0,J253=""),"",MAX(0,D253-I253)/J253),"")</f>
        <v/>
      </c>
    </row>
    <row r="254">
      <c r="J254">
        <f>IFERROR(IF(OR(E254="",H254&lt;&gt;"Sí"),"",MAX(1,DATEDIF(TODAY(),E254,"M")+1)),"")</f>
        <v/>
      </c>
      <c r="K254">
        <f>IFERROR(IF(OR(H254&lt;&gt;"Sí",D254&lt;=0,J254=""),"",MAX(0,D254-I254)/J254),"")</f>
        <v/>
      </c>
    </row>
    <row r="255">
      <c r="J255">
        <f>IFERROR(IF(OR(E255="",H255&lt;&gt;"Sí"),"",MAX(1,DATEDIF(TODAY(),E255,"M")+1)),"")</f>
        <v/>
      </c>
      <c r="K255">
        <f>IFERROR(IF(OR(H255&lt;&gt;"Sí",D255&lt;=0,J255=""),"",MAX(0,D255-I255)/J255),"")</f>
        <v/>
      </c>
    </row>
    <row r="256">
      <c r="J256">
        <f>IFERROR(IF(OR(E256="",H256&lt;&gt;"Sí"),"",MAX(1,DATEDIF(TODAY(),E256,"M")+1)),"")</f>
        <v/>
      </c>
      <c r="K256">
        <f>IFERROR(IF(OR(H256&lt;&gt;"Sí",D256&lt;=0,J256=""),"",MAX(0,D256-I256)/J256),"")</f>
        <v/>
      </c>
    </row>
    <row r="257">
      <c r="J257">
        <f>IFERROR(IF(OR(E257="",H257&lt;&gt;"Sí"),"",MAX(1,DATEDIF(TODAY(),E257,"M")+1)),"")</f>
        <v/>
      </c>
      <c r="K257">
        <f>IFERROR(IF(OR(H257&lt;&gt;"Sí",D257&lt;=0,J257=""),"",MAX(0,D257-I257)/J257),"")</f>
        <v/>
      </c>
    </row>
    <row r="258">
      <c r="J258">
        <f>IFERROR(IF(OR(E258="",H258&lt;&gt;"Sí"),"",MAX(1,DATEDIF(TODAY(),E258,"M")+1)),"")</f>
        <v/>
      </c>
      <c r="K258">
        <f>IFERROR(IF(OR(H258&lt;&gt;"Sí",D258&lt;=0,J258=""),"",MAX(0,D258-I258)/J258),"")</f>
        <v/>
      </c>
    </row>
    <row r="259">
      <c r="J259">
        <f>IFERROR(IF(OR(E259="",H259&lt;&gt;"Sí"),"",MAX(1,DATEDIF(TODAY(),E259,"M")+1)),"")</f>
        <v/>
      </c>
      <c r="K259">
        <f>IFERROR(IF(OR(H259&lt;&gt;"Sí",D259&lt;=0,J259=""),"",MAX(0,D259-I259)/J259),"")</f>
        <v/>
      </c>
    </row>
    <row r="260">
      <c r="J260">
        <f>IFERROR(IF(OR(E260="",H260&lt;&gt;"Sí"),"",MAX(1,DATEDIF(TODAY(),E260,"M")+1)),"")</f>
        <v/>
      </c>
      <c r="K260">
        <f>IFERROR(IF(OR(H260&lt;&gt;"Sí",D260&lt;=0,J260=""),"",MAX(0,D260-I260)/J260),"")</f>
        <v/>
      </c>
    </row>
    <row r="261">
      <c r="J261">
        <f>IFERROR(IF(OR(E261="",H261&lt;&gt;"Sí"),"",MAX(1,DATEDIF(TODAY(),E261,"M")+1)),"")</f>
        <v/>
      </c>
      <c r="K261">
        <f>IFERROR(IF(OR(H261&lt;&gt;"Sí",D261&lt;=0,J261=""),"",MAX(0,D261-I261)/J261),"")</f>
        <v/>
      </c>
    </row>
    <row r="262">
      <c r="J262">
        <f>IFERROR(IF(OR(E262="",H262&lt;&gt;"Sí"),"",MAX(1,DATEDIF(TODAY(),E262,"M")+1)),"")</f>
        <v/>
      </c>
      <c r="K262">
        <f>IFERROR(IF(OR(H262&lt;&gt;"Sí",D262&lt;=0,J262=""),"",MAX(0,D262-I262)/J262),"")</f>
        <v/>
      </c>
    </row>
    <row r="263">
      <c r="J263">
        <f>IFERROR(IF(OR(E263="",H263&lt;&gt;"Sí"),"",MAX(1,DATEDIF(TODAY(),E263,"M")+1)),"")</f>
        <v/>
      </c>
      <c r="K263">
        <f>IFERROR(IF(OR(H263&lt;&gt;"Sí",D263&lt;=0,J263=""),"",MAX(0,D263-I263)/J263),"")</f>
        <v/>
      </c>
    </row>
    <row r="264">
      <c r="J264">
        <f>IFERROR(IF(OR(E264="",H264&lt;&gt;"Sí"),"",MAX(1,DATEDIF(TODAY(),E264,"M")+1)),"")</f>
        <v/>
      </c>
      <c r="K264">
        <f>IFERROR(IF(OR(H264&lt;&gt;"Sí",D264&lt;=0,J264=""),"",MAX(0,D264-I264)/J264),"")</f>
        <v/>
      </c>
    </row>
    <row r="265">
      <c r="J265">
        <f>IFERROR(IF(OR(E265="",H265&lt;&gt;"Sí"),"",MAX(1,DATEDIF(TODAY(),E265,"M")+1)),"")</f>
        <v/>
      </c>
      <c r="K265">
        <f>IFERROR(IF(OR(H265&lt;&gt;"Sí",D265&lt;=0,J265=""),"",MAX(0,D265-I265)/J265),"")</f>
        <v/>
      </c>
    </row>
    <row r="266">
      <c r="J266">
        <f>IFERROR(IF(OR(E266="",H266&lt;&gt;"Sí"),"",MAX(1,DATEDIF(TODAY(),E266,"M")+1)),"")</f>
        <v/>
      </c>
      <c r="K266">
        <f>IFERROR(IF(OR(H266&lt;&gt;"Sí",D266&lt;=0,J266=""),"",MAX(0,D266-I266)/J266),"")</f>
        <v/>
      </c>
    </row>
    <row r="267">
      <c r="J267">
        <f>IFERROR(IF(OR(E267="",H267&lt;&gt;"Sí"),"",MAX(1,DATEDIF(TODAY(),E267,"M")+1)),"")</f>
        <v/>
      </c>
      <c r="K267">
        <f>IFERROR(IF(OR(H267&lt;&gt;"Sí",D267&lt;=0,J267=""),"",MAX(0,D267-I267)/J267),"")</f>
        <v/>
      </c>
    </row>
    <row r="268">
      <c r="J268">
        <f>IFERROR(IF(OR(E268="",H268&lt;&gt;"Sí"),"",MAX(1,DATEDIF(TODAY(),E268,"M")+1)),"")</f>
        <v/>
      </c>
      <c r="K268">
        <f>IFERROR(IF(OR(H268&lt;&gt;"Sí",D268&lt;=0,J268=""),"",MAX(0,D268-I268)/J268),"")</f>
        <v/>
      </c>
    </row>
    <row r="269">
      <c r="J269">
        <f>IFERROR(IF(OR(E269="",H269&lt;&gt;"Sí"),"",MAX(1,DATEDIF(TODAY(),E269,"M")+1)),"")</f>
        <v/>
      </c>
      <c r="K269">
        <f>IFERROR(IF(OR(H269&lt;&gt;"Sí",D269&lt;=0,J269=""),"",MAX(0,D269-I269)/J269),"")</f>
        <v/>
      </c>
    </row>
    <row r="270">
      <c r="J270">
        <f>IFERROR(IF(OR(E270="",H270&lt;&gt;"Sí"),"",MAX(1,DATEDIF(TODAY(),E270,"M")+1)),"")</f>
        <v/>
      </c>
      <c r="K270">
        <f>IFERROR(IF(OR(H270&lt;&gt;"Sí",D270&lt;=0,J270=""),"",MAX(0,D270-I270)/J270),"")</f>
        <v/>
      </c>
    </row>
    <row r="271">
      <c r="J271">
        <f>IFERROR(IF(OR(E271="",H271&lt;&gt;"Sí"),"",MAX(1,DATEDIF(TODAY(),E271,"M")+1)),"")</f>
        <v/>
      </c>
      <c r="K271">
        <f>IFERROR(IF(OR(H271&lt;&gt;"Sí",D271&lt;=0,J271=""),"",MAX(0,D271-I271)/J271),"")</f>
        <v/>
      </c>
    </row>
    <row r="272">
      <c r="J272">
        <f>IFERROR(IF(OR(E272="",H272&lt;&gt;"Sí"),"",MAX(1,DATEDIF(TODAY(),E272,"M")+1)),"")</f>
        <v/>
      </c>
      <c r="K272">
        <f>IFERROR(IF(OR(H272&lt;&gt;"Sí",D272&lt;=0,J272=""),"",MAX(0,D272-I272)/J272),"")</f>
        <v/>
      </c>
    </row>
    <row r="273">
      <c r="J273">
        <f>IFERROR(IF(OR(E273="",H273&lt;&gt;"Sí"),"",MAX(1,DATEDIF(TODAY(),E273,"M")+1)),"")</f>
        <v/>
      </c>
      <c r="K273">
        <f>IFERROR(IF(OR(H273&lt;&gt;"Sí",D273&lt;=0,J273=""),"",MAX(0,D273-I273)/J273),"")</f>
        <v/>
      </c>
    </row>
    <row r="274">
      <c r="J274">
        <f>IFERROR(IF(OR(E274="",H274&lt;&gt;"Sí"),"",MAX(1,DATEDIF(TODAY(),E274,"M")+1)),"")</f>
        <v/>
      </c>
      <c r="K274">
        <f>IFERROR(IF(OR(H274&lt;&gt;"Sí",D274&lt;=0,J274=""),"",MAX(0,D274-I274)/J274),"")</f>
        <v/>
      </c>
    </row>
    <row r="275">
      <c r="J275">
        <f>IFERROR(IF(OR(E275="",H275&lt;&gt;"Sí"),"",MAX(1,DATEDIF(TODAY(),E275,"M")+1)),"")</f>
        <v/>
      </c>
      <c r="K275">
        <f>IFERROR(IF(OR(H275&lt;&gt;"Sí",D275&lt;=0,J275=""),"",MAX(0,D275-I275)/J275),"")</f>
        <v/>
      </c>
    </row>
    <row r="276">
      <c r="J276">
        <f>IFERROR(IF(OR(E276="",H276&lt;&gt;"Sí"),"",MAX(1,DATEDIF(TODAY(),E276,"M")+1)),"")</f>
        <v/>
      </c>
      <c r="K276">
        <f>IFERROR(IF(OR(H276&lt;&gt;"Sí",D276&lt;=0,J276=""),"",MAX(0,D276-I276)/J276),"")</f>
        <v/>
      </c>
    </row>
    <row r="277">
      <c r="J277">
        <f>IFERROR(IF(OR(E277="",H277&lt;&gt;"Sí"),"",MAX(1,DATEDIF(TODAY(),E277,"M")+1)),"")</f>
        <v/>
      </c>
      <c r="K277">
        <f>IFERROR(IF(OR(H277&lt;&gt;"Sí",D277&lt;=0,J277=""),"",MAX(0,D277-I277)/J277),"")</f>
        <v/>
      </c>
    </row>
    <row r="278">
      <c r="J278">
        <f>IFERROR(IF(OR(E278="",H278&lt;&gt;"Sí"),"",MAX(1,DATEDIF(TODAY(),E278,"M")+1)),"")</f>
        <v/>
      </c>
      <c r="K278">
        <f>IFERROR(IF(OR(H278&lt;&gt;"Sí",D278&lt;=0,J278=""),"",MAX(0,D278-I278)/J278),"")</f>
        <v/>
      </c>
    </row>
    <row r="279">
      <c r="J279">
        <f>IFERROR(IF(OR(E279="",H279&lt;&gt;"Sí"),"",MAX(1,DATEDIF(TODAY(),E279,"M")+1)),"")</f>
        <v/>
      </c>
      <c r="K279">
        <f>IFERROR(IF(OR(H279&lt;&gt;"Sí",D279&lt;=0,J279=""),"",MAX(0,D279-I279)/J279),"")</f>
        <v/>
      </c>
    </row>
    <row r="280">
      <c r="J280">
        <f>IFERROR(IF(OR(E280="",H280&lt;&gt;"Sí"),"",MAX(1,DATEDIF(TODAY(),E280,"M")+1)),"")</f>
        <v/>
      </c>
      <c r="K280">
        <f>IFERROR(IF(OR(H280&lt;&gt;"Sí",D280&lt;=0,J280=""),"",MAX(0,D280-I280)/J280),"")</f>
        <v/>
      </c>
    </row>
    <row r="281">
      <c r="J281">
        <f>IFERROR(IF(OR(E281="",H281&lt;&gt;"Sí"),"",MAX(1,DATEDIF(TODAY(),E281,"M")+1)),"")</f>
        <v/>
      </c>
      <c r="K281">
        <f>IFERROR(IF(OR(H281&lt;&gt;"Sí",D281&lt;=0,J281=""),"",MAX(0,D281-I281)/J281),"")</f>
        <v/>
      </c>
    </row>
    <row r="282">
      <c r="J282">
        <f>IFERROR(IF(OR(E282="",H282&lt;&gt;"Sí"),"",MAX(1,DATEDIF(TODAY(),E282,"M")+1)),"")</f>
        <v/>
      </c>
      <c r="K282">
        <f>IFERROR(IF(OR(H282&lt;&gt;"Sí",D282&lt;=0,J282=""),"",MAX(0,D282-I282)/J282),"")</f>
        <v/>
      </c>
    </row>
    <row r="283">
      <c r="J283">
        <f>IFERROR(IF(OR(E283="",H283&lt;&gt;"Sí"),"",MAX(1,DATEDIF(TODAY(),E283,"M")+1)),"")</f>
        <v/>
      </c>
      <c r="K283">
        <f>IFERROR(IF(OR(H283&lt;&gt;"Sí",D283&lt;=0,J283=""),"",MAX(0,D283-I283)/J283),"")</f>
        <v/>
      </c>
    </row>
    <row r="284">
      <c r="J284">
        <f>IFERROR(IF(OR(E284="",H284&lt;&gt;"Sí"),"",MAX(1,DATEDIF(TODAY(),E284,"M")+1)),"")</f>
        <v/>
      </c>
      <c r="K284">
        <f>IFERROR(IF(OR(H284&lt;&gt;"Sí",D284&lt;=0,J284=""),"",MAX(0,D284-I284)/J284),"")</f>
        <v/>
      </c>
    </row>
    <row r="285">
      <c r="J285">
        <f>IFERROR(IF(OR(E285="",H285&lt;&gt;"Sí"),"",MAX(1,DATEDIF(TODAY(),E285,"M")+1)),"")</f>
        <v/>
      </c>
      <c r="K285">
        <f>IFERROR(IF(OR(H285&lt;&gt;"Sí",D285&lt;=0,J285=""),"",MAX(0,D285-I285)/J285),"")</f>
        <v/>
      </c>
    </row>
    <row r="286">
      <c r="J286">
        <f>IFERROR(IF(OR(E286="",H286&lt;&gt;"Sí"),"",MAX(1,DATEDIF(TODAY(),E286,"M")+1)),"")</f>
        <v/>
      </c>
      <c r="K286">
        <f>IFERROR(IF(OR(H286&lt;&gt;"Sí",D286&lt;=0,J286=""),"",MAX(0,D286-I286)/J286),"")</f>
        <v/>
      </c>
    </row>
    <row r="287">
      <c r="J287">
        <f>IFERROR(IF(OR(E287="",H287&lt;&gt;"Sí"),"",MAX(1,DATEDIF(TODAY(),E287,"M")+1)),"")</f>
        <v/>
      </c>
      <c r="K287">
        <f>IFERROR(IF(OR(H287&lt;&gt;"Sí",D287&lt;=0,J287=""),"",MAX(0,D287-I287)/J287),"")</f>
        <v/>
      </c>
    </row>
    <row r="288">
      <c r="J288">
        <f>IFERROR(IF(OR(E288="",H288&lt;&gt;"Sí"),"",MAX(1,DATEDIF(TODAY(),E288,"M")+1)),"")</f>
        <v/>
      </c>
      <c r="K288">
        <f>IFERROR(IF(OR(H288&lt;&gt;"Sí",D288&lt;=0,J288=""),"",MAX(0,D288-I288)/J288),"")</f>
        <v/>
      </c>
    </row>
    <row r="289">
      <c r="J289">
        <f>IFERROR(IF(OR(E289="",H289&lt;&gt;"Sí"),"",MAX(1,DATEDIF(TODAY(),E289,"M")+1)),"")</f>
        <v/>
      </c>
      <c r="K289">
        <f>IFERROR(IF(OR(H289&lt;&gt;"Sí",D289&lt;=0,J289=""),"",MAX(0,D289-I289)/J289),"")</f>
        <v/>
      </c>
    </row>
    <row r="290">
      <c r="J290">
        <f>IFERROR(IF(OR(E290="",H290&lt;&gt;"Sí"),"",MAX(1,DATEDIF(TODAY(),E290,"M")+1)),"")</f>
        <v/>
      </c>
      <c r="K290">
        <f>IFERROR(IF(OR(H290&lt;&gt;"Sí",D290&lt;=0,J290=""),"",MAX(0,D290-I290)/J290),"")</f>
        <v/>
      </c>
    </row>
    <row r="291">
      <c r="J291">
        <f>IFERROR(IF(OR(E291="",H291&lt;&gt;"Sí"),"",MAX(1,DATEDIF(TODAY(),E291,"M")+1)),"")</f>
        <v/>
      </c>
      <c r="K291">
        <f>IFERROR(IF(OR(H291&lt;&gt;"Sí",D291&lt;=0,J291=""),"",MAX(0,D291-I291)/J291),"")</f>
        <v/>
      </c>
    </row>
    <row r="292">
      <c r="J292">
        <f>IFERROR(IF(OR(E292="",H292&lt;&gt;"Sí"),"",MAX(1,DATEDIF(TODAY(),E292,"M")+1)),"")</f>
        <v/>
      </c>
      <c r="K292">
        <f>IFERROR(IF(OR(H292&lt;&gt;"Sí",D292&lt;=0,J292=""),"",MAX(0,D292-I292)/J292),"")</f>
        <v/>
      </c>
    </row>
    <row r="293">
      <c r="J293">
        <f>IFERROR(IF(OR(E293="",H293&lt;&gt;"Sí"),"",MAX(1,DATEDIF(TODAY(),E293,"M")+1)),"")</f>
        <v/>
      </c>
      <c r="K293">
        <f>IFERROR(IF(OR(H293&lt;&gt;"Sí",D293&lt;=0,J293=""),"",MAX(0,D293-I293)/J293),"")</f>
        <v/>
      </c>
    </row>
    <row r="294">
      <c r="J294">
        <f>IFERROR(IF(OR(E294="",H294&lt;&gt;"Sí"),"",MAX(1,DATEDIF(TODAY(),E294,"M")+1)),"")</f>
        <v/>
      </c>
      <c r="K294">
        <f>IFERROR(IF(OR(H294&lt;&gt;"Sí",D294&lt;=0,J294=""),"",MAX(0,D294-I294)/J294),"")</f>
        <v/>
      </c>
    </row>
    <row r="295">
      <c r="J295">
        <f>IFERROR(IF(OR(E295="",H295&lt;&gt;"Sí"),"",MAX(1,DATEDIF(TODAY(),E295,"M")+1)),"")</f>
        <v/>
      </c>
      <c r="K295">
        <f>IFERROR(IF(OR(H295&lt;&gt;"Sí",D295&lt;=0,J295=""),"",MAX(0,D295-I295)/J295),"")</f>
        <v/>
      </c>
    </row>
    <row r="296">
      <c r="J296">
        <f>IFERROR(IF(OR(E296="",H296&lt;&gt;"Sí"),"",MAX(1,DATEDIF(TODAY(),E296,"M")+1)),"")</f>
        <v/>
      </c>
      <c r="K296">
        <f>IFERROR(IF(OR(H296&lt;&gt;"Sí",D296&lt;=0,J296=""),"",MAX(0,D296-I296)/J296),"")</f>
        <v/>
      </c>
    </row>
    <row r="297">
      <c r="J297">
        <f>IFERROR(IF(OR(E297="",H297&lt;&gt;"Sí"),"",MAX(1,DATEDIF(TODAY(),E297,"M")+1)),"")</f>
        <v/>
      </c>
      <c r="K297">
        <f>IFERROR(IF(OR(H297&lt;&gt;"Sí",D297&lt;=0,J297=""),"",MAX(0,D297-I297)/J297),"")</f>
        <v/>
      </c>
    </row>
    <row r="298">
      <c r="J298">
        <f>IFERROR(IF(OR(E298="",H298&lt;&gt;"Sí"),"",MAX(1,DATEDIF(TODAY(),E298,"M")+1)),"")</f>
        <v/>
      </c>
      <c r="K298">
        <f>IFERROR(IF(OR(H298&lt;&gt;"Sí",D298&lt;=0,J298=""),"",MAX(0,D298-I298)/J298),"")</f>
        <v/>
      </c>
    </row>
    <row r="299">
      <c r="J299">
        <f>IFERROR(IF(OR(E299="",H299&lt;&gt;"Sí"),"",MAX(1,DATEDIF(TODAY(),E299,"M")+1)),"")</f>
        <v/>
      </c>
      <c r="K299">
        <f>IFERROR(IF(OR(H299&lt;&gt;"Sí",D299&lt;=0,J299=""),"",MAX(0,D299-I299)/J299),"")</f>
        <v/>
      </c>
    </row>
    <row r="300">
      <c r="J300">
        <f>IFERROR(IF(OR(E300="",H300&lt;&gt;"Sí"),"",MAX(1,DATEDIF(TODAY(),E300,"M")+1)),"")</f>
        <v/>
      </c>
      <c r="K300">
        <f>IFERROR(IF(OR(H300&lt;&gt;"Sí",D300&lt;=0,J300=""),"",MAX(0,D300-I300)/J300),"")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objetivoId</t>
        </is>
      </c>
      <c r="B1" t="inlineStr">
        <is>
          <t>nombre</t>
        </is>
      </c>
      <c r="C1" t="inlineStr">
        <is>
          <t>tipo</t>
        </is>
      </c>
      <c r="D1" t="inlineStr">
        <is>
          <t>cuentaAhorro</t>
        </is>
      </c>
      <c r="E1" t="inlineStr">
        <is>
          <t>importeObjetivo</t>
        </is>
      </c>
      <c r="F1" t="inlineStr">
        <is>
          <t>fechaObjetivo</t>
        </is>
      </c>
      <c r="G1" t="inlineStr">
        <is>
          <t>prioridad</t>
        </is>
      </c>
      <c r="H1" t="inlineStr">
        <is>
          <t>saldoActual</t>
        </is>
      </c>
      <c r="I1" t="inlineStr">
        <is>
          <t>mesesRestantes</t>
        </is>
      </c>
      <c r="J1" t="inlineStr">
        <is>
          <t>aporteMensual</t>
        </is>
      </c>
      <c r="K1" t="inlineStr">
        <is>
          <t>estado</t>
        </is>
      </c>
      <c r="L1" t="inlineStr">
        <is>
          <t>notas</t>
        </is>
      </c>
      <c r="M1" t="inlineStr">
        <is>
          <t>createdAt</t>
        </is>
      </c>
      <c r="N1" t="inlineStr">
        <is>
          <t>updatedAt</t>
        </is>
      </c>
    </row>
    <row r="2">
      <c r="A2" t="inlineStr">
        <is>
          <t>obj-mini-colchon</t>
        </is>
      </c>
      <c r="B2" t="inlineStr">
        <is>
          <t>Mini-colchón seguridad</t>
        </is>
      </c>
      <c r="C2" t="inlineStr">
        <is>
          <t>Seguridad</t>
        </is>
      </c>
      <c r="D2" t="inlineStr">
        <is>
          <t>Cuenta principal</t>
        </is>
      </c>
      <c r="E2" t="n">
        <v>1000</v>
      </c>
      <c r="G2" t="inlineStr">
        <is>
          <t>Alta</t>
        </is>
      </c>
      <c r="H2" t="n">
        <v>0</v>
      </c>
      <c r="J2">
        <f>IFERROR(IF(OR(E2&lt;=0,I2=""),"",MAX(0,E2-H2)/I2),"")</f>
        <v/>
      </c>
      <c r="K2" t="inlineStr">
        <is>
          <t>Activo</t>
        </is>
      </c>
      <c r="L2" t="inlineStr">
        <is>
          <t>Primer objetivo: dejar de vivir al mes.</t>
        </is>
      </c>
    </row>
    <row r="3">
      <c r="A3" t="inlineStr">
        <is>
          <t>obj-colchon-real</t>
        </is>
      </c>
      <c r="B3" t="inlineStr">
        <is>
          <t>Colchón real</t>
        </is>
      </c>
      <c r="C3" t="inlineStr">
        <is>
          <t>Seguridad</t>
        </is>
      </c>
      <c r="D3" t="inlineStr">
        <is>
          <t>Cuenta principal</t>
        </is>
      </c>
      <c r="E3" t="n">
        <v>3000</v>
      </c>
      <c r="G3" t="inlineStr">
        <is>
          <t>Alta</t>
        </is>
      </c>
      <c r="H3" t="n">
        <v>0</v>
      </c>
      <c r="J3">
        <f>IFERROR(IF(OR(E3&lt;=0,I3=""),"",MAX(0,E3-H3)/I3),"")</f>
        <v/>
      </c>
      <c r="K3" t="inlineStr">
        <is>
          <t>Pausado</t>
        </is>
      </c>
      <c r="L3" t="inlineStr">
        <is>
          <t>Activar después del mini-colchón.</t>
        </is>
      </c>
    </row>
    <row r="4">
      <c r="A4" t="inlineStr">
        <is>
          <t>obj-imprevistos</t>
        </is>
      </c>
      <c r="B4" t="inlineStr">
        <is>
          <t>Imprevistos vehículo/moto</t>
        </is>
      </c>
      <c r="C4" t="inlineStr">
        <is>
          <t>Seguridad</t>
        </is>
      </c>
      <c r="D4" t="inlineStr">
        <is>
          <t>Reserva virtual</t>
        </is>
      </c>
      <c r="E4" t="n">
        <v>600</v>
      </c>
      <c r="G4" t="inlineStr">
        <is>
          <t>Alta</t>
        </is>
      </c>
      <c r="H4" t="n">
        <v>0</v>
      </c>
      <c r="J4">
        <f>IFERROR(IF(OR(E4&lt;=0,I4=""),"",MAX(0,E4-H4)/I4),"")</f>
        <v/>
      </c>
      <c r="K4" t="inlineStr">
        <is>
          <t>Activo</t>
        </is>
      </c>
      <c r="L4" t="inlineStr">
        <is>
          <t>Reserva para multas, neumáticos, revisiones y averías pequeñas.</t>
        </is>
      </c>
    </row>
    <row r="5">
      <c r="J5">
        <f>IFERROR(IF(OR(E5&lt;=0,I5=""),"",MAX(0,E5-H5)/I5),"")</f>
        <v/>
      </c>
    </row>
    <row r="6">
      <c r="J6">
        <f>IFERROR(IF(OR(E6&lt;=0,I6=""),"",MAX(0,E6-H6)/I6),"")</f>
        <v/>
      </c>
    </row>
    <row r="7">
      <c r="J7">
        <f>IFERROR(IF(OR(E7&lt;=0,I7=""),"",MAX(0,E7-H7)/I7),"")</f>
        <v/>
      </c>
    </row>
    <row r="8">
      <c r="J8">
        <f>IFERROR(IF(OR(E8&lt;=0,I8=""),"",MAX(0,E8-H8)/I8),"")</f>
        <v/>
      </c>
    </row>
    <row r="9">
      <c r="J9">
        <f>IFERROR(IF(OR(E9&lt;=0,I9=""),"",MAX(0,E9-H9)/I9),"")</f>
        <v/>
      </c>
    </row>
    <row r="10">
      <c r="J10">
        <f>IFERROR(IF(OR(E10&lt;=0,I10=""),"",MAX(0,E10-H10)/I10),"")</f>
        <v/>
      </c>
    </row>
    <row r="11">
      <c r="J11">
        <f>IFERROR(IF(OR(E11&lt;=0,I11=""),"",MAX(0,E11-H11)/I11),"")</f>
        <v/>
      </c>
    </row>
    <row r="12">
      <c r="J12">
        <f>IFERROR(IF(OR(E12&lt;=0,I12=""),"",MAX(0,E12-H12)/I12),"")</f>
        <v/>
      </c>
    </row>
    <row r="13">
      <c r="J13">
        <f>IFERROR(IF(OR(E13&lt;=0,I13=""),"",MAX(0,E13-H13)/I13),"")</f>
        <v/>
      </c>
    </row>
    <row r="14">
      <c r="J14">
        <f>IFERROR(IF(OR(E14&lt;=0,I14=""),"",MAX(0,E14-H14)/I14),"")</f>
        <v/>
      </c>
    </row>
    <row r="15">
      <c r="J15">
        <f>IFERROR(IF(OR(E15&lt;=0,I15=""),"",MAX(0,E15-H15)/I15),"")</f>
        <v/>
      </c>
    </row>
    <row r="16">
      <c r="J16">
        <f>IFERROR(IF(OR(E16&lt;=0,I16=""),"",MAX(0,E16-H16)/I16),"")</f>
        <v/>
      </c>
    </row>
    <row r="17">
      <c r="J17">
        <f>IFERROR(IF(OR(E17&lt;=0,I17=""),"",MAX(0,E17-H17)/I17),"")</f>
        <v/>
      </c>
    </row>
    <row r="18">
      <c r="J18">
        <f>IFERROR(IF(OR(E18&lt;=0,I18=""),"",MAX(0,E18-H18)/I18),"")</f>
        <v/>
      </c>
    </row>
    <row r="19">
      <c r="J19">
        <f>IFERROR(IF(OR(E19&lt;=0,I19=""),"",MAX(0,E19-H19)/I19),"")</f>
        <v/>
      </c>
    </row>
    <row r="20">
      <c r="J20">
        <f>IFERROR(IF(OR(E20&lt;=0,I20=""),"",MAX(0,E20-H20)/I20),"")</f>
        <v/>
      </c>
    </row>
    <row r="21">
      <c r="J21">
        <f>IFERROR(IF(OR(E21&lt;=0,I21=""),"",MAX(0,E21-H21)/I21),"")</f>
        <v/>
      </c>
    </row>
    <row r="22">
      <c r="J22">
        <f>IFERROR(IF(OR(E22&lt;=0,I22=""),"",MAX(0,E22-H22)/I22),"")</f>
        <v/>
      </c>
    </row>
    <row r="23">
      <c r="J23">
        <f>IFERROR(IF(OR(E23&lt;=0,I23=""),"",MAX(0,E23-H23)/I23),"")</f>
        <v/>
      </c>
    </row>
    <row r="24">
      <c r="J24">
        <f>IFERROR(IF(OR(E24&lt;=0,I24=""),"",MAX(0,E24-H24)/I24),"")</f>
        <v/>
      </c>
    </row>
    <row r="25">
      <c r="J25">
        <f>IFERROR(IF(OR(E25&lt;=0,I25=""),"",MAX(0,E25-H25)/I25),"")</f>
        <v/>
      </c>
    </row>
    <row r="26">
      <c r="J26">
        <f>IFERROR(IF(OR(E26&lt;=0,I26=""),"",MAX(0,E26-H26)/I26),"")</f>
        <v/>
      </c>
    </row>
    <row r="27">
      <c r="J27">
        <f>IFERROR(IF(OR(E27&lt;=0,I27=""),"",MAX(0,E27-H27)/I27),"")</f>
        <v/>
      </c>
    </row>
    <row r="28">
      <c r="J28">
        <f>IFERROR(IF(OR(E28&lt;=0,I28=""),"",MAX(0,E28-H28)/I28),"")</f>
        <v/>
      </c>
    </row>
    <row r="29">
      <c r="J29">
        <f>IFERROR(IF(OR(E29&lt;=0,I29=""),"",MAX(0,E29-H29)/I29),"")</f>
        <v/>
      </c>
    </row>
    <row r="30">
      <c r="J30">
        <f>IFERROR(IF(OR(E30&lt;=0,I30=""),"",MAX(0,E30-H30)/I30),"")</f>
        <v/>
      </c>
    </row>
    <row r="31">
      <c r="J31">
        <f>IFERROR(IF(OR(E31&lt;=0,I31=""),"",MAX(0,E31-H31)/I31),"")</f>
        <v/>
      </c>
    </row>
    <row r="32">
      <c r="J32">
        <f>IFERROR(IF(OR(E32&lt;=0,I32=""),"",MAX(0,E32-H32)/I32),"")</f>
        <v/>
      </c>
    </row>
    <row r="33">
      <c r="J33">
        <f>IFERROR(IF(OR(E33&lt;=0,I33=""),"",MAX(0,E33-H33)/I33),"")</f>
        <v/>
      </c>
    </row>
    <row r="34">
      <c r="J34">
        <f>IFERROR(IF(OR(E34&lt;=0,I34=""),"",MAX(0,E34-H34)/I34),"")</f>
        <v/>
      </c>
    </row>
    <row r="35">
      <c r="J35">
        <f>IFERROR(IF(OR(E35&lt;=0,I35=""),"",MAX(0,E35-H35)/I35),"")</f>
        <v/>
      </c>
    </row>
    <row r="36">
      <c r="J36">
        <f>IFERROR(IF(OR(E36&lt;=0,I36=""),"",MAX(0,E36-H36)/I36),"")</f>
        <v/>
      </c>
    </row>
    <row r="37">
      <c r="J37">
        <f>IFERROR(IF(OR(E37&lt;=0,I37=""),"",MAX(0,E37-H37)/I37),"")</f>
        <v/>
      </c>
    </row>
    <row r="38">
      <c r="J38">
        <f>IFERROR(IF(OR(E38&lt;=0,I38=""),"",MAX(0,E38-H38)/I38),"")</f>
        <v/>
      </c>
    </row>
    <row r="39">
      <c r="J39">
        <f>IFERROR(IF(OR(E39&lt;=0,I39=""),"",MAX(0,E39-H39)/I39),"")</f>
        <v/>
      </c>
    </row>
    <row r="40">
      <c r="J40">
        <f>IFERROR(IF(OR(E40&lt;=0,I40=""),"",MAX(0,E40-H40)/I40),"")</f>
        <v/>
      </c>
    </row>
    <row r="41">
      <c r="J41">
        <f>IFERROR(IF(OR(E41&lt;=0,I41=""),"",MAX(0,E41-H41)/I41),"")</f>
        <v/>
      </c>
    </row>
    <row r="42">
      <c r="J42">
        <f>IFERROR(IF(OR(E42&lt;=0,I42=""),"",MAX(0,E42-H42)/I42),"")</f>
        <v/>
      </c>
    </row>
    <row r="43">
      <c r="J43">
        <f>IFERROR(IF(OR(E43&lt;=0,I43=""),"",MAX(0,E43-H43)/I43),"")</f>
        <v/>
      </c>
    </row>
    <row r="44">
      <c r="J44">
        <f>IFERROR(IF(OR(E44&lt;=0,I44=""),"",MAX(0,E44-H44)/I44),"")</f>
        <v/>
      </c>
    </row>
    <row r="45">
      <c r="J45">
        <f>IFERROR(IF(OR(E45&lt;=0,I45=""),"",MAX(0,E45-H45)/I45),"")</f>
        <v/>
      </c>
    </row>
    <row r="46">
      <c r="J46">
        <f>IFERROR(IF(OR(E46&lt;=0,I46=""),"",MAX(0,E46-H46)/I46),"")</f>
        <v/>
      </c>
    </row>
    <row r="47">
      <c r="J47">
        <f>IFERROR(IF(OR(E47&lt;=0,I47=""),"",MAX(0,E47-H47)/I47),"")</f>
        <v/>
      </c>
    </row>
    <row r="48">
      <c r="J48">
        <f>IFERROR(IF(OR(E48&lt;=0,I48=""),"",MAX(0,E48-H48)/I48),"")</f>
        <v/>
      </c>
    </row>
    <row r="49">
      <c r="J49">
        <f>IFERROR(IF(OR(E49&lt;=0,I49=""),"",MAX(0,E49-H49)/I49),"")</f>
        <v/>
      </c>
    </row>
    <row r="50">
      <c r="J50">
        <f>IFERROR(IF(OR(E50&lt;=0,I50=""),"",MAX(0,E50-H50)/I50),"")</f>
        <v/>
      </c>
    </row>
    <row r="51">
      <c r="J51">
        <f>IFERROR(IF(OR(E51&lt;=0,I51=""),"",MAX(0,E51-H51)/I51),"")</f>
        <v/>
      </c>
    </row>
    <row r="52">
      <c r="J52">
        <f>IFERROR(IF(OR(E52&lt;=0,I52=""),"",MAX(0,E52-H52)/I52),"")</f>
        <v/>
      </c>
    </row>
    <row r="53">
      <c r="J53">
        <f>IFERROR(IF(OR(E53&lt;=0,I53=""),"",MAX(0,E53-H53)/I53),"")</f>
        <v/>
      </c>
    </row>
    <row r="54">
      <c r="J54">
        <f>IFERROR(IF(OR(E54&lt;=0,I54=""),"",MAX(0,E54-H54)/I54),"")</f>
        <v/>
      </c>
    </row>
    <row r="55">
      <c r="J55">
        <f>IFERROR(IF(OR(E55&lt;=0,I55=""),"",MAX(0,E55-H55)/I55),"")</f>
        <v/>
      </c>
    </row>
    <row r="56">
      <c r="J56">
        <f>IFERROR(IF(OR(E56&lt;=0,I56=""),"",MAX(0,E56-H56)/I56),"")</f>
        <v/>
      </c>
    </row>
    <row r="57">
      <c r="J57">
        <f>IFERROR(IF(OR(E57&lt;=0,I57=""),"",MAX(0,E57-H57)/I57),"")</f>
        <v/>
      </c>
    </row>
    <row r="58">
      <c r="J58">
        <f>IFERROR(IF(OR(E58&lt;=0,I58=""),"",MAX(0,E58-H58)/I58),"")</f>
        <v/>
      </c>
    </row>
    <row r="59">
      <c r="J59">
        <f>IFERROR(IF(OR(E59&lt;=0,I59=""),"",MAX(0,E59-H59)/I59),"")</f>
        <v/>
      </c>
    </row>
    <row r="60">
      <c r="J60">
        <f>IFERROR(IF(OR(E60&lt;=0,I60=""),"",MAX(0,E60-H60)/I60),"")</f>
        <v/>
      </c>
    </row>
    <row r="61">
      <c r="J61">
        <f>IFERROR(IF(OR(E61&lt;=0,I61=""),"",MAX(0,E61-H61)/I61),"")</f>
        <v/>
      </c>
    </row>
    <row r="62">
      <c r="J62">
        <f>IFERROR(IF(OR(E62&lt;=0,I62=""),"",MAX(0,E62-H62)/I62),"")</f>
        <v/>
      </c>
    </row>
    <row r="63">
      <c r="J63">
        <f>IFERROR(IF(OR(E63&lt;=0,I63=""),"",MAX(0,E63-H63)/I63),"")</f>
        <v/>
      </c>
    </row>
    <row r="64">
      <c r="J64">
        <f>IFERROR(IF(OR(E64&lt;=0,I64=""),"",MAX(0,E64-H64)/I64),"")</f>
        <v/>
      </c>
    </row>
    <row r="65">
      <c r="J65">
        <f>IFERROR(IF(OR(E65&lt;=0,I65=""),"",MAX(0,E65-H65)/I65),"")</f>
        <v/>
      </c>
    </row>
    <row r="66">
      <c r="J66">
        <f>IFERROR(IF(OR(E66&lt;=0,I66=""),"",MAX(0,E66-H66)/I66),"")</f>
        <v/>
      </c>
    </row>
    <row r="67">
      <c r="J67">
        <f>IFERROR(IF(OR(E67&lt;=0,I67=""),"",MAX(0,E67-H67)/I67),"")</f>
        <v/>
      </c>
    </row>
    <row r="68">
      <c r="J68">
        <f>IFERROR(IF(OR(E68&lt;=0,I68=""),"",MAX(0,E68-H68)/I68),"")</f>
        <v/>
      </c>
    </row>
    <row r="69">
      <c r="J69">
        <f>IFERROR(IF(OR(E69&lt;=0,I69=""),"",MAX(0,E69-H69)/I69),"")</f>
        <v/>
      </c>
    </row>
    <row r="70">
      <c r="J70">
        <f>IFERROR(IF(OR(E70&lt;=0,I70=""),"",MAX(0,E70-H70)/I70),"")</f>
        <v/>
      </c>
    </row>
    <row r="71">
      <c r="J71">
        <f>IFERROR(IF(OR(E71&lt;=0,I71=""),"",MAX(0,E71-H71)/I71),"")</f>
        <v/>
      </c>
    </row>
    <row r="72">
      <c r="J72">
        <f>IFERROR(IF(OR(E72&lt;=0,I72=""),"",MAX(0,E72-H72)/I72),"")</f>
        <v/>
      </c>
    </row>
    <row r="73">
      <c r="J73">
        <f>IFERROR(IF(OR(E73&lt;=0,I73=""),"",MAX(0,E73-H73)/I73),"")</f>
        <v/>
      </c>
    </row>
    <row r="74">
      <c r="J74">
        <f>IFERROR(IF(OR(E74&lt;=0,I74=""),"",MAX(0,E74-H74)/I74),"")</f>
        <v/>
      </c>
    </row>
    <row r="75">
      <c r="J75">
        <f>IFERROR(IF(OR(E75&lt;=0,I75=""),"",MAX(0,E75-H75)/I75),"")</f>
        <v/>
      </c>
    </row>
    <row r="76">
      <c r="J76">
        <f>IFERROR(IF(OR(E76&lt;=0,I76=""),"",MAX(0,E76-H76)/I76),"")</f>
        <v/>
      </c>
    </row>
    <row r="77">
      <c r="J77">
        <f>IFERROR(IF(OR(E77&lt;=0,I77=""),"",MAX(0,E77-H77)/I77),"")</f>
        <v/>
      </c>
    </row>
    <row r="78">
      <c r="J78">
        <f>IFERROR(IF(OR(E78&lt;=0,I78=""),"",MAX(0,E78-H78)/I78),"")</f>
        <v/>
      </c>
    </row>
    <row r="79">
      <c r="J79">
        <f>IFERROR(IF(OR(E79&lt;=0,I79=""),"",MAX(0,E79-H79)/I79),"")</f>
        <v/>
      </c>
    </row>
    <row r="80">
      <c r="J80">
        <f>IFERROR(IF(OR(E80&lt;=0,I80=""),"",MAX(0,E80-H80)/I80),"")</f>
        <v/>
      </c>
    </row>
    <row r="81">
      <c r="J81">
        <f>IFERROR(IF(OR(E81&lt;=0,I81=""),"",MAX(0,E81-H81)/I81),"")</f>
        <v/>
      </c>
    </row>
    <row r="82">
      <c r="J82">
        <f>IFERROR(IF(OR(E82&lt;=0,I82=""),"",MAX(0,E82-H82)/I82),"")</f>
        <v/>
      </c>
    </row>
    <row r="83">
      <c r="J83">
        <f>IFERROR(IF(OR(E83&lt;=0,I83=""),"",MAX(0,E83-H83)/I83),"")</f>
        <v/>
      </c>
    </row>
    <row r="84">
      <c r="J84">
        <f>IFERROR(IF(OR(E84&lt;=0,I84=""),"",MAX(0,E84-H84)/I84),"")</f>
        <v/>
      </c>
    </row>
    <row r="85">
      <c r="J85">
        <f>IFERROR(IF(OR(E85&lt;=0,I85=""),"",MAX(0,E85-H85)/I85),"")</f>
        <v/>
      </c>
    </row>
    <row r="86">
      <c r="J86">
        <f>IFERROR(IF(OR(E86&lt;=0,I86=""),"",MAX(0,E86-H86)/I86),"")</f>
        <v/>
      </c>
    </row>
    <row r="87">
      <c r="J87">
        <f>IFERROR(IF(OR(E87&lt;=0,I87=""),"",MAX(0,E87-H87)/I87),"")</f>
        <v/>
      </c>
    </row>
    <row r="88">
      <c r="J88">
        <f>IFERROR(IF(OR(E88&lt;=0,I88=""),"",MAX(0,E88-H88)/I88),"")</f>
        <v/>
      </c>
    </row>
    <row r="89">
      <c r="J89">
        <f>IFERROR(IF(OR(E89&lt;=0,I89=""),"",MAX(0,E89-H89)/I89),"")</f>
        <v/>
      </c>
    </row>
    <row r="90">
      <c r="J90">
        <f>IFERROR(IF(OR(E90&lt;=0,I90=""),"",MAX(0,E90-H90)/I90),"")</f>
        <v/>
      </c>
    </row>
    <row r="91">
      <c r="J91">
        <f>IFERROR(IF(OR(E91&lt;=0,I91=""),"",MAX(0,E91-H91)/I91),"")</f>
        <v/>
      </c>
    </row>
    <row r="92">
      <c r="J92">
        <f>IFERROR(IF(OR(E92&lt;=0,I92=""),"",MAX(0,E92-H92)/I92),"")</f>
        <v/>
      </c>
    </row>
    <row r="93">
      <c r="J93">
        <f>IFERROR(IF(OR(E93&lt;=0,I93=""),"",MAX(0,E93-H93)/I93),"")</f>
        <v/>
      </c>
    </row>
    <row r="94">
      <c r="J94">
        <f>IFERROR(IF(OR(E94&lt;=0,I94=""),"",MAX(0,E94-H94)/I94),"")</f>
        <v/>
      </c>
    </row>
    <row r="95">
      <c r="J95">
        <f>IFERROR(IF(OR(E95&lt;=0,I95=""),"",MAX(0,E95-H95)/I95),"")</f>
        <v/>
      </c>
    </row>
    <row r="96">
      <c r="J96">
        <f>IFERROR(IF(OR(E96&lt;=0,I96=""),"",MAX(0,E96-H96)/I96),"")</f>
        <v/>
      </c>
    </row>
    <row r="97">
      <c r="J97">
        <f>IFERROR(IF(OR(E97&lt;=0,I97=""),"",MAX(0,E97-H97)/I97),"")</f>
        <v/>
      </c>
    </row>
    <row r="98">
      <c r="J98">
        <f>IFERROR(IF(OR(E98&lt;=0,I98=""),"",MAX(0,E98-H98)/I98),"")</f>
        <v/>
      </c>
    </row>
    <row r="99">
      <c r="J99">
        <f>IFERROR(IF(OR(E99&lt;=0,I99=""),"",MAX(0,E99-H99)/I99),"")</f>
        <v/>
      </c>
    </row>
    <row r="100">
      <c r="J100">
        <f>IFERROR(IF(OR(E100&lt;=0,I100=""),"",MAX(0,E100-H100)/I100),"")</f>
        <v/>
      </c>
    </row>
    <row r="101">
      <c r="J101">
        <f>IFERROR(IF(OR(E101&lt;=0,I101=""),"",MAX(0,E101-H101)/I101),"")</f>
        <v/>
      </c>
    </row>
    <row r="102">
      <c r="J102">
        <f>IFERROR(IF(OR(E102&lt;=0,I102=""),"",MAX(0,E102-H102)/I102),"")</f>
        <v/>
      </c>
    </row>
    <row r="103">
      <c r="J103">
        <f>IFERROR(IF(OR(E103&lt;=0,I103=""),"",MAX(0,E103-H103)/I103),"")</f>
        <v/>
      </c>
    </row>
    <row r="104">
      <c r="J104">
        <f>IFERROR(IF(OR(E104&lt;=0,I104=""),"",MAX(0,E104-H104)/I104),"")</f>
        <v/>
      </c>
    </row>
    <row r="105">
      <c r="J105">
        <f>IFERROR(IF(OR(E105&lt;=0,I105=""),"",MAX(0,E105-H105)/I105),"")</f>
        <v/>
      </c>
    </row>
    <row r="106">
      <c r="J106">
        <f>IFERROR(IF(OR(E106&lt;=0,I106=""),"",MAX(0,E106-H106)/I106),"")</f>
        <v/>
      </c>
    </row>
    <row r="107">
      <c r="J107">
        <f>IFERROR(IF(OR(E107&lt;=0,I107=""),"",MAX(0,E107-H107)/I107),"")</f>
        <v/>
      </c>
    </row>
    <row r="108">
      <c r="J108">
        <f>IFERROR(IF(OR(E108&lt;=0,I108=""),"",MAX(0,E108-H108)/I108),"")</f>
        <v/>
      </c>
    </row>
    <row r="109">
      <c r="J109">
        <f>IFERROR(IF(OR(E109&lt;=0,I109=""),"",MAX(0,E109-H109)/I109),"")</f>
        <v/>
      </c>
    </row>
    <row r="110">
      <c r="J110">
        <f>IFERROR(IF(OR(E110&lt;=0,I110=""),"",MAX(0,E110-H110)/I110),"")</f>
        <v/>
      </c>
    </row>
    <row r="111">
      <c r="J111">
        <f>IFERROR(IF(OR(E111&lt;=0,I111=""),"",MAX(0,E111-H111)/I111),"")</f>
        <v/>
      </c>
    </row>
    <row r="112">
      <c r="J112">
        <f>IFERROR(IF(OR(E112&lt;=0,I112=""),"",MAX(0,E112-H112)/I112),"")</f>
        <v/>
      </c>
    </row>
    <row r="113">
      <c r="J113">
        <f>IFERROR(IF(OR(E113&lt;=0,I113=""),"",MAX(0,E113-H113)/I113),"")</f>
        <v/>
      </c>
    </row>
    <row r="114">
      <c r="J114">
        <f>IFERROR(IF(OR(E114&lt;=0,I114=""),"",MAX(0,E114-H114)/I114),"")</f>
        <v/>
      </c>
    </row>
    <row r="115">
      <c r="J115">
        <f>IFERROR(IF(OR(E115&lt;=0,I115=""),"",MAX(0,E115-H115)/I115),"")</f>
        <v/>
      </c>
    </row>
    <row r="116">
      <c r="J116">
        <f>IFERROR(IF(OR(E116&lt;=0,I116=""),"",MAX(0,E116-H116)/I116),"")</f>
        <v/>
      </c>
    </row>
    <row r="117">
      <c r="J117">
        <f>IFERROR(IF(OR(E117&lt;=0,I117=""),"",MAX(0,E117-H117)/I117),"")</f>
        <v/>
      </c>
    </row>
    <row r="118">
      <c r="J118">
        <f>IFERROR(IF(OR(E118&lt;=0,I118=""),"",MAX(0,E118-H118)/I118),"")</f>
        <v/>
      </c>
    </row>
    <row r="119">
      <c r="J119">
        <f>IFERROR(IF(OR(E119&lt;=0,I119=""),"",MAX(0,E119-H119)/I119),"")</f>
        <v/>
      </c>
    </row>
    <row r="120">
      <c r="J120">
        <f>IFERROR(IF(OR(E120&lt;=0,I120=""),"",MAX(0,E120-H120)/I120),"")</f>
        <v/>
      </c>
    </row>
    <row r="121">
      <c r="J121">
        <f>IFERROR(IF(OR(E121&lt;=0,I121=""),"",MAX(0,E121-H121)/I121),"")</f>
        <v/>
      </c>
    </row>
    <row r="122">
      <c r="J122">
        <f>IFERROR(IF(OR(E122&lt;=0,I122=""),"",MAX(0,E122-H122)/I122),"")</f>
        <v/>
      </c>
    </row>
    <row r="123">
      <c r="J123">
        <f>IFERROR(IF(OR(E123&lt;=0,I123=""),"",MAX(0,E123-H123)/I123),"")</f>
        <v/>
      </c>
    </row>
    <row r="124">
      <c r="J124">
        <f>IFERROR(IF(OR(E124&lt;=0,I124=""),"",MAX(0,E124-H124)/I124),"")</f>
        <v/>
      </c>
    </row>
    <row r="125">
      <c r="J125">
        <f>IFERROR(IF(OR(E125&lt;=0,I125=""),"",MAX(0,E125-H125)/I125),"")</f>
        <v/>
      </c>
    </row>
    <row r="126">
      <c r="J126">
        <f>IFERROR(IF(OR(E126&lt;=0,I126=""),"",MAX(0,E126-H126)/I126),"")</f>
        <v/>
      </c>
    </row>
    <row r="127">
      <c r="J127">
        <f>IFERROR(IF(OR(E127&lt;=0,I127=""),"",MAX(0,E127-H127)/I127),"")</f>
        <v/>
      </c>
    </row>
    <row r="128">
      <c r="J128">
        <f>IFERROR(IF(OR(E128&lt;=0,I128=""),"",MAX(0,E128-H128)/I128),"")</f>
        <v/>
      </c>
    </row>
    <row r="129">
      <c r="J129">
        <f>IFERROR(IF(OR(E129&lt;=0,I129=""),"",MAX(0,E129-H129)/I129),"")</f>
        <v/>
      </c>
    </row>
    <row r="130">
      <c r="J130">
        <f>IFERROR(IF(OR(E130&lt;=0,I130=""),"",MAX(0,E130-H130)/I130),"")</f>
        <v/>
      </c>
    </row>
    <row r="131">
      <c r="J131">
        <f>IFERROR(IF(OR(E131&lt;=0,I131=""),"",MAX(0,E131-H131)/I131),"")</f>
        <v/>
      </c>
    </row>
    <row r="132">
      <c r="J132">
        <f>IFERROR(IF(OR(E132&lt;=0,I132=""),"",MAX(0,E132-H132)/I132),"")</f>
        <v/>
      </c>
    </row>
    <row r="133">
      <c r="J133">
        <f>IFERROR(IF(OR(E133&lt;=0,I133=""),"",MAX(0,E133-H133)/I133),"")</f>
        <v/>
      </c>
    </row>
    <row r="134">
      <c r="J134">
        <f>IFERROR(IF(OR(E134&lt;=0,I134=""),"",MAX(0,E134-H134)/I134),"")</f>
        <v/>
      </c>
    </row>
    <row r="135">
      <c r="J135">
        <f>IFERROR(IF(OR(E135&lt;=0,I135=""),"",MAX(0,E135-H135)/I135),"")</f>
        <v/>
      </c>
    </row>
    <row r="136">
      <c r="J136">
        <f>IFERROR(IF(OR(E136&lt;=0,I136=""),"",MAX(0,E136-H136)/I136),"")</f>
        <v/>
      </c>
    </row>
    <row r="137">
      <c r="J137">
        <f>IFERROR(IF(OR(E137&lt;=0,I137=""),"",MAX(0,E137-H137)/I137),"")</f>
        <v/>
      </c>
    </row>
    <row r="138">
      <c r="J138">
        <f>IFERROR(IF(OR(E138&lt;=0,I138=""),"",MAX(0,E138-H138)/I138),"")</f>
        <v/>
      </c>
    </row>
    <row r="139">
      <c r="J139">
        <f>IFERROR(IF(OR(E139&lt;=0,I139=""),"",MAX(0,E139-H139)/I139),"")</f>
        <v/>
      </c>
    </row>
    <row r="140">
      <c r="J140">
        <f>IFERROR(IF(OR(E140&lt;=0,I140=""),"",MAX(0,E140-H140)/I140),"")</f>
        <v/>
      </c>
    </row>
    <row r="141">
      <c r="J141">
        <f>IFERROR(IF(OR(E141&lt;=0,I141=""),"",MAX(0,E141-H141)/I141),"")</f>
        <v/>
      </c>
    </row>
    <row r="142">
      <c r="J142">
        <f>IFERROR(IF(OR(E142&lt;=0,I142=""),"",MAX(0,E142-H142)/I142),"")</f>
        <v/>
      </c>
    </row>
    <row r="143">
      <c r="J143">
        <f>IFERROR(IF(OR(E143&lt;=0,I143=""),"",MAX(0,E143-H143)/I143),"")</f>
        <v/>
      </c>
    </row>
    <row r="144">
      <c r="J144">
        <f>IFERROR(IF(OR(E144&lt;=0,I144=""),"",MAX(0,E144-H144)/I144),"")</f>
        <v/>
      </c>
    </row>
    <row r="145">
      <c r="J145">
        <f>IFERROR(IF(OR(E145&lt;=0,I145=""),"",MAX(0,E145-H145)/I145),"")</f>
        <v/>
      </c>
    </row>
    <row r="146">
      <c r="J146">
        <f>IFERROR(IF(OR(E146&lt;=0,I146=""),"",MAX(0,E146-H146)/I146),"")</f>
        <v/>
      </c>
    </row>
    <row r="147">
      <c r="J147">
        <f>IFERROR(IF(OR(E147&lt;=0,I147=""),"",MAX(0,E147-H147)/I147),"")</f>
        <v/>
      </c>
    </row>
    <row r="148">
      <c r="J148">
        <f>IFERROR(IF(OR(E148&lt;=0,I148=""),"",MAX(0,E148-H148)/I148),"")</f>
        <v/>
      </c>
    </row>
    <row r="149">
      <c r="J149">
        <f>IFERROR(IF(OR(E149&lt;=0,I149=""),"",MAX(0,E149-H149)/I149),"")</f>
        <v/>
      </c>
    </row>
    <row r="150">
      <c r="J150">
        <f>IFERROR(IF(OR(E150&lt;=0,I150=""),"",MAX(0,E150-H150)/I150),"")</f>
        <v/>
      </c>
    </row>
    <row r="151">
      <c r="J151">
        <f>IFERROR(IF(OR(E151&lt;=0,I151=""),"",MAX(0,E151-H151)/I151),"")</f>
        <v/>
      </c>
    </row>
    <row r="152">
      <c r="J152">
        <f>IFERROR(IF(OR(E152&lt;=0,I152=""),"",MAX(0,E152-H152)/I152),"")</f>
        <v/>
      </c>
    </row>
    <row r="153">
      <c r="J153">
        <f>IFERROR(IF(OR(E153&lt;=0,I153=""),"",MAX(0,E153-H153)/I153),"")</f>
        <v/>
      </c>
    </row>
    <row r="154">
      <c r="J154">
        <f>IFERROR(IF(OR(E154&lt;=0,I154=""),"",MAX(0,E154-H154)/I154),"")</f>
        <v/>
      </c>
    </row>
    <row r="155">
      <c r="J155">
        <f>IFERROR(IF(OR(E155&lt;=0,I155=""),"",MAX(0,E155-H155)/I155),"")</f>
        <v/>
      </c>
    </row>
    <row r="156">
      <c r="J156">
        <f>IFERROR(IF(OR(E156&lt;=0,I156=""),"",MAX(0,E156-H156)/I156),"")</f>
        <v/>
      </c>
    </row>
    <row r="157">
      <c r="J157">
        <f>IFERROR(IF(OR(E157&lt;=0,I157=""),"",MAX(0,E157-H157)/I157),"")</f>
        <v/>
      </c>
    </row>
    <row r="158">
      <c r="J158">
        <f>IFERROR(IF(OR(E158&lt;=0,I158=""),"",MAX(0,E158-H158)/I158),"")</f>
        <v/>
      </c>
    </row>
    <row r="159">
      <c r="J159">
        <f>IFERROR(IF(OR(E159&lt;=0,I159=""),"",MAX(0,E159-H159)/I159),"")</f>
        <v/>
      </c>
    </row>
    <row r="160">
      <c r="J160">
        <f>IFERROR(IF(OR(E160&lt;=0,I160=""),"",MAX(0,E160-H160)/I160),"")</f>
        <v/>
      </c>
    </row>
    <row r="161">
      <c r="J161">
        <f>IFERROR(IF(OR(E161&lt;=0,I161=""),"",MAX(0,E161-H161)/I161),"")</f>
        <v/>
      </c>
    </row>
    <row r="162">
      <c r="J162">
        <f>IFERROR(IF(OR(E162&lt;=0,I162=""),"",MAX(0,E162-H162)/I162),"")</f>
        <v/>
      </c>
    </row>
    <row r="163">
      <c r="J163">
        <f>IFERROR(IF(OR(E163&lt;=0,I163=""),"",MAX(0,E163-H163)/I163),"")</f>
        <v/>
      </c>
    </row>
    <row r="164">
      <c r="J164">
        <f>IFERROR(IF(OR(E164&lt;=0,I164=""),"",MAX(0,E164-H164)/I164),"")</f>
        <v/>
      </c>
    </row>
    <row r="165">
      <c r="J165">
        <f>IFERROR(IF(OR(E165&lt;=0,I165=""),"",MAX(0,E165-H165)/I165),"")</f>
        <v/>
      </c>
    </row>
    <row r="166">
      <c r="J166">
        <f>IFERROR(IF(OR(E166&lt;=0,I166=""),"",MAX(0,E166-H166)/I166),"")</f>
        <v/>
      </c>
    </row>
    <row r="167">
      <c r="J167">
        <f>IFERROR(IF(OR(E167&lt;=0,I167=""),"",MAX(0,E167-H167)/I167),"")</f>
        <v/>
      </c>
    </row>
    <row r="168">
      <c r="J168">
        <f>IFERROR(IF(OR(E168&lt;=0,I168=""),"",MAX(0,E168-H168)/I168),"")</f>
        <v/>
      </c>
    </row>
    <row r="169">
      <c r="J169">
        <f>IFERROR(IF(OR(E169&lt;=0,I169=""),"",MAX(0,E169-H169)/I169),"")</f>
        <v/>
      </c>
    </row>
    <row r="170">
      <c r="J170">
        <f>IFERROR(IF(OR(E170&lt;=0,I170=""),"",MAX(0,E170-H170)/I170),"")</f>
        <v/>
      </c>
    </row>
    <row r="171">
      <c r="J171">
        <f>IFERROR(IF(OR(E171&lt;=0,I171=""),"",MAX(0,E171-H171)/I171),"")</f>
        <v/>
      </c>
    </row>
    <row r="172">
      <c r="J172">
        <f>IFERROR(IF(OR(E172&lt;=0,I172=""),"",MAX(0,E172-H172)/I172),"")</f>
        <v/>
      </c>
    </row>
    <row r="173">
      <c r="J173">
        <f>IFERROR(IF(OR(E173&lt;=0,I173=""),"",MAX(0,E173-H173)/I173),"")</f>
        <v/>
      </c>
    </row>
    <row r="174">
      <c r="J174">
        <f>IFERROR(IF(OR(E174&lt;=0,I174=""),"",MAX(0,E174-H174)/I174),"")</f>
        <v/>
      </c>
    </row>
    <row r="175">
      <c r="J175">
        <f>IFERROR(IF(OR(E175&lt;=0,I175=""),"",MAX(0,E175-H175)/I175),"")</f>
        <v/>
      </c>
    </row>
    <row r="176">
      <c r="J176">
        <f>IFERROR(IF(OR(E176&lt;=0,I176=""),"",MAX(0,E176-H176)/I176),"")</f>
        <v/>
      </c>
    </row>
    <row r="177">
      <c r="J177">
        <f>IFERROR(IF(OR(E177&lt;=0,I177=""),"",MAX(0,E177-H177)/I177),"")</f>
        <v/>
      </c>
    </row>
    <row r="178">
      <c r="J178">
        <f>IFERROR(IF(OR(E178&lt;=0,I178=""),"",MAX(0,E178-H178)/I178),"")</f>
        <v/>
      </c>
    </row>
    <row r="179">
      <c r="J179">
        <f>IFERROR(IF(OR(E179&lt;=0,I179=""),"",MAX(0,E179-H179)/I179),"")</f>
        <v/>
      </c>
    </row>
    <row r="180">
      <c r="J180">
        <f>IFERROR(IF(OR(E180&lt;=0,I180=""),"",MAX(0,E180-H180)/I180),"")</f>
        <v/>
      </c>
    </row>
    <row r="181">
      <c r="J181">
        <f>IFERROR(IF(OR(E181&lt;=0,I181=""),"",MAX(0,E181-H181)/I181),"")</f>
        <v/>
      </c>
    </row>
    <row r="182">
      <c r="J182">
        <f>IFERROR(IF(OR(E182&lt;=0,I182=""),"",MAX(0,E182-H182)/I182),"")</f>
        <v/>
      </c>
    </row>
    <row r="183">
      <c r="J183">
        <f>IFERROR(IF(OR(E183&lt;=0,I183=""),"",MAX(0,E183-H183)/I183),"")</f>
        <v/>
      </c>
    </row>
    <row r="184">
      <c r="J184">
        <f>IFERROR(IF(OR(E184&lt;=0,I184=""),"",MAX(0,E184-H184)/I184),"")</f>
        <v/>
      </c>
    </row>
    <row r="185">
      <c r="J185">
        <f>IFERROR(IF(OR(E185&lt;=0,I185=""),"",MAX(0,E185-H185)/I185),"")</f>
        <v/>
      </c>
    </row>
    <row r="186">
      <c r="J186">
        <f>IFERROR(IF(OR(E186&lt;=0,I186=""),"",MAX(0,E186-H186)/I186),"")</f>
        <v/>
      </c>
    </row>
    <row r="187">
      <c r="J187">
        <f>IFERROR(IF(OR(E187&lt;=0,I187=""),"",MAX(0,E187-H187)/I187),"")</f>
        <v/>
      </c>
    </row>
    <row r="188">
      <c r="J188">
        <f>IFERROR(IF(OR(E188&lt;=0,I188=""),"",MAX(0,E188-H188)/I188),"")</f>
        <v/>
      </c>
    </row>
    <row r="189">
      <c r="J189">
        <f>IFERROR(IF(OR(E189&lt;=0,I189=""),"",MAX(0,E189-H189)/I189),"")</f>
        <v/>
      </c>
    </row>
    <row r="190">
      <c r="J190">
        <f>IFERROR(IF(OR(E190&lt;=0,I190=""),"",MAX(0,E190-H190)/I190),"")</f>
        <v/>
      </c>
    </row>
    <row r="191">
      <c r="J191">
        <f>IFERROR(IF(OR(E191&lt;=0,I191=""),"",MAX(0,E191-H191)/I191),"")</f>
        <v/>
      </c>
    </row>
    <row r="192">
      <c r="J192">
        <f>IFERROR(IF(OR(E192&lt;=0,I192=""),"",MAX(0,E192-H192)/I192),"")</f>
        <v/>
      </c>
    </row>
    <row r="193">
      <c r="J193">
        <f>IFERROR(IF(OR(E193&lt;=0,I193=""),"",MAX(0,E193-H193)/I193),"")</f>
        <v/>
      </c>
    </row>
    <row r="194">
      <c r="J194">
        <f>IFERROR(IF(OR(E194&lt;=0,I194=""),"",MAX(0,E194-H194)/I194),"")</f>
        <v/>
      </c>
    </row>
    <row r="195">
      <c r="J195">
        <f>IFERROR(IF(OR(E195&lt;=0,I195=""),"",MAX(0,E195-H195)/I195),"")</f>
        <v/>
      </c>
    </row>
    <row r="196">
      <c r="J196">
        <f>IFERROR(IF(OR(E196&lt;=0,I196=""),"",MAX(0,E196-H196)/I196),"")</f>
        <v/>
      </c>
    </row>
    <row r="197">
      <c r="J197">
        <f>IFERROR(IF(OR(E197&lt;=0,I197=""),"",MAX(0,E197-H197)/I197),"")</f>
        <v/>
      </c>
    </row>
    <row r="198">
      <c r="J198">
        <f>IFERROR(IF(OR(E198&lt;=0,I198=""),"",MAX(0,E198-H198)/I198),"")</f>
        <v/>
      </c>
    </row>
    <row r="199">
      <c r="J199">
        <f>IFERROR(IF(OR(E199&lt;=0,I199=""),"",MAX(0,E199-H199)/I199),"")</f>
        <v/>
      </c>
    </row>
    <row r="200">
      <c r="J200">
        <f>IFERROR(IF(OR(E200&lt;=0,I200=""),"",MAX(0,E200-H200)/I200),"")</f>
        <v/>
      </c>
    </row>
    <row r="201">
      <c r="J201">
        <f>IFERROR(IF(OR(E201&lt;=0,I201=""),"",MAX(0,E201-H201)/I201),"")</f>
        <v/>
      </c>
    </row>
    <row r="202">
      <c r="J202">
        <f>IFERROR(IF(OR(E202&lt;=0,I202=""),"",MAX(0,E202-H202)/I202),"")</f>
        <v/>
      </c>
    </row>
    <row r="203">
      <c r="J203">
        <f>IFERROR(IF(OR(E203&lt;=0,I203=""),"",MAX(0,E203-H203)/I203),"")</f>
        <v/>
      </c>
    </row>
    <row r="204">
      <c r="J204">
        <f>IFERROR(IF(OR(E204&lt;=0,I204=""),"",MAX(0,E204-H204)/I204),"")</f>
        <v/>
      </c>
    </row>
    <row r="205">
      <c r="J205">
        <f>IFERROR(IF(OR(E205&lt;=0,I205=""),"",MAX(0,E205-H205)/I205),"")</f>
        <v/>
      </c>
    </row>
    <row r="206">
      <c r="J206">
        <f>IFERROR(IF(OR(E206&lt;=0,I206=""),"",MAX(0,E206-H206)/I206),"")</f>
        <v/>
      </c>
    </row>
    <row r="207">
      <c r="J207">
        <f>IFERROR(IF(OR(E207&lt;=0,I207=""),"",MAX(0,E207-H207)/I207),"")</f>
        <v/>
      </c>
    </row>
    <row r="208">
      <c r="J208">
        <f>IFERROR(IF(OR(E208&lt;=0,I208=""),"",MAX(0,E208-H208)/I208),"")</f>
        <v/>
      </c>
    </row>
    <row r="209">
      <c r="J209">
        <f>IFERROR(IF(OR(E209&lt;=0,I209=""),"",MAX(0,E209-H209)/I209),"")</f>
        <v/>
      </c>
    </row>
    <row r="210">
      <c r="J210">
        <f>IFERROR(IF(OR(E210&lt;=0,I210=""),"",MAX(0,E210-H210)/I210),"")</f>
        <v/>
      </c>
    </row>
    <row r="211">
      <c r="J211">
        <f>IFERROR(IF(OR(E211&lt;=0,I211=""),"",MAX(0,E211-H211)/I211),"")</f>
        <v/>
      </c>
    </row>
    <row r="212">
      <c r="J212">
        <f>IFERROR(IF(OR(E212&lt;=0,I212=""),"",MAX(0,E212-H212)/I212),"")</f>
        <v/>
      </c>
    </row>
    <row r="213">
      <c r="J213">
        <f>IFERROR(IF(OR(E213&lt;=0,I213=""),"",MAX(0,E213-H213)/I213),"")</f>
        <v/>
      </c>
    </row>
    <row r="214">
      <c r="J214">
        <f>IFERROR(IF(OR(E214&lt;=0,I214=""),"",MAX(0,E214-H214)/I214),"")</f>
        <v/>
      </c>
    </row>
    <row r="215">
      <c r="J215">
        <f>IFERROR(IF(OR(E215&lt;=0,I215=""),"",MAX(0,E215-H215)/I215),"")</f>
        <v/>
      </c>
    </row>
    <row r="216">
      <c r="J216">
        <f>IFERROR(IF(OR(E216&lt;=0,I216=""),"",MAX(0,E216-H216)/I216),"")</f>
        <v/>
      </c>
    </row>
    <row r="217">
      <c r="J217">
        <f>IFERROR(IF(OR(E217&lt;=0,I217=""),"",MAX(0,E217-H217)/I217),"")</f>
        <v/>
      </c>
    </row>
    <row r="218">
      <c r="J218">
        <f>IFERROR(IF(OR(E218&lt;=0,I218=""),"",MAX(0,E218-H218)/I218),"")</f>
        <v/>
      </c>
    </row>
    <row r="219">
      <c r="J219">
        <f>IFERROR(IF(OR(E219&lt;=0,I219=""),"",MAX(0,E219-H219)/I219),"")</f>
        <v/>
      </c>
    </row>
    <row r="220">
      <c r="J220">
        <f>IFERROR(IF(OR(E220&lt;=0,I220=""),"",MAX(0,E220-H220)/I220),"")</f>
        <v/>
      </c>
    </row>
    <row r="221">
      <c r="J221">
        <f>IFERROR(IF(OR(E221&lt;=0,I221=""),"",MAX(0,E221-H221)/I221),"")</f>
        <v/>
      </c>
    </row>
    <row r="222">
      <c r="J222">
        <f>IFERROR(IF(OR(E222&lt;=0,I222=""),"",MAX(0,E222-H222)/I222),"")</f>
        <v/>
      </c>
    </row>
    <row r="223">
      <c r="J223">
        <f>IFERROR(IF(OR(E223&lt;=0,I223=""),"",MAX(0,E223-H223)/I223),"")</f>
        <v/>
      </c>
    </row>
    <row r="224">
      <c r="J224">
        <f>IFERROR(IF(OR(E224&lt;=0,I224=""),"",MAX(0,E224-H224)/I224),"")</f>
        <v/>
      </c>
    </row>
    <row r="225">
      <c r="J225">
        <f>IFERROR(IF(OR(E225&lt;=0,I225=""),"",MAX(0,E225-H225)/I225),"")</f>
        <v/>
      </c>
    </row>
    <row r="226">
      <c r="J226">
        <f>IFERROR(IF(OR(E226&lt;=0,I226=""),"",MAX(0,E226-H226)/I226),"")</f>
        <v/>
      </c>
    </row>
    <row r="227">
      <c r="J227">
        <f>IFERROR(IF(OR(E227&lt;=0,I227=""),"",MAX(0,E227-H227)/I227),"")</f>
        <v/>
      </c>
    </row>
    <row r="228">
      <c r="J228">
        <f>IFERROR(IF(OR(E228&lt;=0,I228=""),"",MAX(0,E228-H228)/I228),"")</f>
        <v/>
      </c>
    </row>
    <row r="229">
      <c r="J229">
        <f>IFERROR(IF(OR(E229&lt;=0,I229=""),"",MAX(0,E229-H229)/I229),"")</f>
        <v/>
      </c>
    </row>
    <row r="230">
      <c r="J230">
        <f>IFERROR(IF(OR(E230&lt;=0,I230=""),"",MAX(0,E230-H230)/I230),"")</f>
        <v/>
      </c>
    </row>
    <row r="231">
      <c r="J231">
        <f>IFERROR(IF(OR(E231&lt;=0,I231=""),"",MAX(0,E231-H231)/I231),"")</f>
        <v/>
      </c>
    </row>
    <row r="232">
      <c r="J232">
        <f>IFERROR(IF(OR(E232&lt;=0,I232=""),"",MAX(0,E232-H232)/I232),"")</f>
        <v/>
      </c>
    </row>
    <row r="233">
      <c r="J233">
        <f>IFERROR(IF(OR(E233&lt;=0,I233=""),"",MAX(0,E233-H233)/I233),"")</f>
        <v/>
      </c>
    </row>
    <row r="234">
      <c r="J234">
        <f>IFERROR(IF(OR(E234&lt;=0,I234=""),"",MAX(0,E234-H234)/I234),"")</f>
        <v/>
      </c>
    </row>
    <row r="235">
      <c r="J235">
        <f>IFERROR(IF(OR(E235&lt;=0,I235=""),"",MAX(0,E235-H235)/I235),"")</f>
        <v/>
      </c>
    </row>
    <row r="236">
      <c r="J236">
        <f>IFERROR(IF(OR(E236&lt;=0,I236=""),"",MAX(0,E236-H236)/I236),"")</f>
        <v/>
      </c>
    </row>
    <row r="237">
      <c r="J237">
        <f>IFERROR(IF(OR(E237&lt;=0,I237=""),"",MAX(0,E237-H237)/I237),"")</f>
        <v/>
      </c>
    </row>
    <row r="238">
      <c r="J238">
        <f>IFERROR(IF(OR(E238&lt;=0,I238=""),"",MAX(0,E238-H238)/I238),"")</f>
        <v/>
      </c>
    </row>
    <row r="239">
      <c r="J239">
        <f>IFERROR(IF(OR(E239&lt;=0,I239=""),"",MAX(0,E239-H239)/I239),"")</f>
        <v/>
      </c>
    </row>
    <row r="240">
      <c r="J240">
        <f>IFERROR(IF(OR(E240&lt;=0,I240=""),"",MAX(0,E240-H240)/I240),"")</f>
        <v/>
      </c>
    </row>
    <row r="241">
      <c r="J241">
        <f>IFERROR(IF(OR(E241&lt;=0,I241=""),"",MAX(0,E241-H241)/I241),"")</f>
        <v/>
      </c>
    </row>
    <row r="242">
      <c r="J242">
        <f>IFERROR(IF(OR(E242&lt;=0,I242=""),"",MAX(0,E242-H242)/I242),"")</f>
        <v/>
      </c>
    </row>
    <row r="243">
      <c r="J243">
        <f>IFERROR(IF(OR(E243&lt;=0,I243=""),"",MAX(0,E243-H243)/I243),"")</f>
        <v/>
      </c>
    </row>
    <row r="244">
      <c r="J244">
        <f>IFERROR(IF(OR(E244&lt;=0,I244=""),"",MAX(0,E244-H244)/I244),"")</f>
        <v/>
      </c>
    </row>
    <row r="245">
      <c r="J245">
        <f>IFERROR(IF(OR(E245&lt;=0,I245=""),"",MAX(0,E245-H245)/I245),"")</f>
        <v/>
      </c>
    </row>
    <row r="246">
      <c r="J246">
        <f>IFERROR(IF(OR(E246&lt;=0,I246=""),"",MAX(0,E246-H246)/I246),"")</f>
        <v/>
      </c>
    </row>
    <row r="247">
      <c r="J247">
        <f>IFERROR(IF(OR(E247&lt;=0,I247=""),"",MAX(0,E247-H247)/I247),"")</f>
        <v/>
      </c>
    </row>
    <row r="248">
      <c r="J248">
        <f>IFERROR(IF(OR(E248&lt;=0,I248=""),"",MAX(0,E248-H248)/I248),"")</f>
        <v/>
      </c>
    </row>
    <row r="249">
      <c r="J249">
        <f>IFERROR(IF(OR(E249&lt;=0,I249=""),"",MAX(0,E249-H249)/I249),"")</f>
        <v/>
      </c>
    </row>
    <row r="250">
      <c r="J250">
        <f>IFERROR(IF(OR(E250&lt;=0,I250=""),"",MAX(0,E250-H250)/I250),"")</f>
        <v/>
      </c>
    </row>
    <row r="251">
      <c r="J251">
        <f>IFERROR(IF(OR(E251&lt;=0,I251=""),"",MAX(0,E251-H251)/I251),"")</f>
        <v/>
      </c>
    </row>
    <row r="252">
      <c r="J252">
        <f>IFERROR(IF(OR(E252&lt;=0,I252=""),"",MAX(0,E252-H252)/I252),"")</f>
        <v/>
      </c>
    </row>
    <row r="253">
      <c r="J253">
        <f>IFERROR(IF(OR(E253&lt;=0,I253=""),"",MAX(0,E253-H253)/I253),"")</f>
        <v/>
      </c>
    </row>
    <row r="254">
      <c r="J254">
        <f>IFERROR(IF(OR(E254&lt;=0,I254=""),"",MAX(0,E254-H254)/I254),"")</f>
        <v/>
      </c>
    </row>
    <row r="255">
      <c r="J255">
        <f>IFERROR(IF(OR(E255&lt;=0,I255=""),"",MAX(0,E255-H255)/I255),"")</f>
        <v/>
      </c>
    </row>
    <row r="256">
      <c r="J256">
        <f>IFERROR(IF(OR(E256&lt;=0,I256=""),"",MAX(0,E256-H256)/I256),"")</f>
        <v/>
      </c>
    </row>
    <row r="257">
      <c r="J257">
        <f>IFERROR(IF(OR(E257&lt;=0,I257=""),"",MAX(0,E257-H257)/I257),"")</f>
        <v/>
      </c>
    </row>
    <row r="258">
      <c r="J258">
        <f>IFERROR(IF(OR(E258&lt;=0,I258=""),"",MAX(0,E258-H258)/I258),"")</f>
        <v/>
      </c>
    </row>
    <row r="259">
      <c r="J259">
        <f>IFERROR(IF(OR(E259&lt;=0,I259=""),"",MAX(0,E259-H259)/I259),"")</f>
        <v/>
      </c>
    </row>
    <row r="260">
      <c r="J260">
        <f>IFERROR(IF(OR(E260&lt;=0,I260=""),"",MAX(0,E260-H260)/I260),"")</f>
        <v/>
      </c>
    </row>
    <row r="261">
      <c r="J261">
        <f>IFERROR(IF(OR(E261&lt;=0,I261=""),"",MAX(0,E261-H261)/I261),"")</f>
        <v/>
      </c>
    </row>
    <row r="262">
      <c r="J262">
        <f>IFERROR(IF(OR(E262&lt;=0,I262=""),"",MAX(0,E262-H262)/I262),"")</f>
        <v/>
      </c>
    </row>
    <row r="263">
      <c r="J263">
        <f>IFERROR(IF(OR(E263&lt;=0,I263=""),"",MAX(0,E263-H263)/I263),"")</f>
        <v/>
      </c>
    </row>
    <row r="264">
      <c r="J264">
        <f>IFERROR(IF(OR(E264&lt;=0,I264=""),"",MAX(0,E264-H264)/I264),"")</f>
        <v/>
      </c>
    </row>
    <row r="265">
      <c r="J265">
        <f>IFERROR(IF(OR(E265&lt;=0,I265=""),"",MAX(0,E265-H265)/I265),"")</f>
        <v/>
      </c>
    </row>
    <row r="266">
      <c r="J266">
        <f>IFERROR(IF(OR(E266&lt;=0,I266=""),"",MAX(0,E266-H266)/I266),"")</f>
        <v/>
      </c>
    </row>
    <row r="267">
      <c r="J267">
        <f>IFERROR(IF(OR(E267&lt;=0,I267=""),"",MAX(0,E267-H267)/I267),"")</f>
        <v/>
      </c>
    </row>
    <row r="268">
      <c r="J268">
        <f>IFERROR(IF(OR(E268&lt;=0,I268=""),"",MAX(0,E268-H268)/I268),"")</f>
        <v/>
      </c>
    </row>
    <row r="269">
      <c r="J269">
        <f>IFERROR(IF(OR(E269&lt;=0,I269=""),"",MAX(0,E269-H269)/I269),"")</f>
        <v/>
      </c>
    </row>
    <row r="270">
      <c r="J270">
        <f>IFERROR(IF(OR(E270&lt;=0,I270=""),"",MAX(0,E270-H270)/I270),"")</f>
        <v/>
      </c>
    </row>
    <row r="271">
      <c r="J271">
        <f>IFERROR(IF(OR(E271&lt;=0,I271=""),"",MAX(0,E271-H271)/I271),"")</f>
        <v/>
      </c>
    </row>
    <row r="272">
      <c r="J272">
        <f>IFERROR(IF(OR(E272&lt;=0,I272=""),"",MAX(0,E272-H272)/I272),"")</f>
        <v/>
      </c>
    </row>
    <row r="273">
      <c r="J273">
        <f>IFERROR(IF(OR(E273&lt;=0,I273=""),"",MAX(0,E273-H273)/I273),"")</f>
        <v/>
      </c>
    </row>
    <row r="274">
      <c r="J274">
        <f>IFERROR(IF(OR(E274&lt;=0,I274=""),"",MAX(0,E274-H274)/I274),"")</f>
        <v/>
      </c>
    </row>
    <row r="275">
      <c r="J275">
        <f>IFERROR(IF(OR(E275&lt;=0,I275=""),"",MAX(0,E275-H275)/I275),"")</f>
        <v/>
      </c>
    </row>
    <row r="276">
      <c r="J276">
        <f>IFERROR(IF(OR(E276&lt;=0,I276=""),"",MAX(0,E276-H276)/I276),"")</f>
        <v/>
      </c>
    </row>
    <row r="277">
      <c r="J277">
        <f>IFERROR(IF(OR(E277&lt;=0,I277=""),"",MAX(0,E277-H277)/I277),"")</f>
        <v/>
      </c>
    </row>
    <row r="278">
      <c r="J278">
        <f>IFERROR(IF(OR(E278&lt;=0,I278=""),"",MAX(0,E278-H278)/I278),"")</f>
        <v/>
      </c>
    </row>
    <row r="279">
      <c r="J279">
        <f>IFERROR(IF(OR(E279&lt;=0,I279=""),"",MAX(0,E279-H279)/I279),"")</f>
        <v/>
      </c>
    </row>
    <row r="280">
      <c r="J280">
        <f>IFERROR(IF(OR(E280&lt;=0,I280=""),"",MAX(0,E280-H280)/I280),"")</f>
        <v/>
      </c>
    </row>
    <row r="281">
      <c r="J281">
        <f>IFERROR(IF(OR(E281&lt;=0,I281=""),"",MAX(0,E281-H281)/I281),"")</f>
        <v/>
      </c>
    </row>
    <row r="282">
      <c r="J282">
        <f>IFERROR(IF(OR(E282&lt;=0,I282=""),"",MAX(0,E282-H282)/I282),"")</f>
        <v/>
      </c>
    </row>
    <row r="283">
      <c r="J283">
        <f>IFERROR(IF(OR(E283&lt;=0,I283=""),"",MAX(0,E283-H283)/I283),"")</f>
        <v/>
      </c>
    </row>
    <row r="284">
      <c r="J284">
        <f>IFERROR(IF(OR(E284&lt;=0,I284=""),"",MAX(0,E284-H284)/I284),"")</f>
        <v/>
      </c>
    </row>
    <row r="285">
      <c r="J285">
        <f>IFERROR(IF(OR(E285&lt;=0,I285=""),"",MAX(0,E285-H285)/I285),"")</f>
        <v/>
      </c>
    </row>
    <row r="286">
      <c r="J286">
        <f>IFERROR(IF(OR(E286&lt;=0,I286=""),"",MAX(0,E286-H286)/I286),"")</f>
        <v/>
      </c>
    </row>
    <row r="287">
      <c r="J287">
        <f>IFERROR(IF(OR(E287&lt;=0,I287=""),"",MAX(0,E287-H287)/I287),"")</f>
        <v/>
      </c>
    </row>
    <row r="288">
      <c r="J288">
        <f>IFERROR(IF(OR(E288&lt;=0,I288=""),"",MAX(0,E288-H288)/I288),"")</f>
        <v/>
      </c>
    </row>
    <row r="289">
      <c r="J289">
        <f>IFERROR(IF(OR(E289&lt;=0,I289=""),"",MAX(0,E289-H289)/I289),"")</f>
        <v/>
      </c>
    </row>
    <row r="290">
      <c r="J290">
        <f>IFERROR(IF(OR(E290&lt;=0,I290=""),"",MAX(0,E290-H290)/I290),"")</f>
        <v/>
      </c>
    </row>
    <row r="291">
      <c r="J291">
        <f>IFERROR(IF(OR(E291&lt;=0,I291=""),"",MAX(0,E291-H291)/I291),"")</f>
        <v/>
      </c>
    </row>
    <row r="292">
      <c r="J292">
        <f>IFERROR(IF(OR(E292&lt;=0,I292=""),"",MAX(0,E292-H292)/I292),"")</f>
        <v/>
      </c>
    </row>
    <row r="293">
      <c r="J293">
        <f>IFERROR(IF(OR(E293&lt;=0,I293=""),"",MAX(0,E293-H293)/I293),"")</f>
        <v/>
      </c>
    </row>
    <row r="294">
      <c r="J294">
        <f>IFERROR(IF(OR(E294&lt;=0,I294=""),"",MAX(0,E294-H294)/I294),"")</f>
        <v/>
      </c>
    </row>
    <row r="295">
      <c r="J295">
        <f>IFERROR(IF(OR(E295&lt;=0,I295=""),"",MAX(0,E295-H295)/I295),"")</f>
        <v/>
      </c>
    </row>
    <row r="296">
      <c r="J296">
        <f>IFERROR(IF(OR(E296&lt;=0,I296=""),"",MAX(0,E296-H296)/I296),"")</f>
        <v/>
      </c>
    </row>
    <row r="297">
      <c r="J297">
        <f>IFERROR(IF(OR(E297&lt;=0,I297=""),"",MAX(0,E297-H297)/I297),"")</f>
        <v/>
      </c>
    </row>
    <row r="298">
      <c r="J298">
        <f>IFERROR(IF(OR(E298&lt;=0,I298=""),"",MAX(0,E298-H298)/I298),"")</f>
        <v/>
      </c>
    </row>
    <row r="299">
      <c r="J299">
        <f>IFERROR(IF(OR(E299&lt;=0,I299=""),"",MAX(0,E299-H299)/I299),"")</f>
        <v/>
      </c>
    </row>
    <row r="300">
      <c r="J300">
        <f>IFERROR(IF(OR(E300&lt;=0,I300=""),"",MAX(0,E300-H300)/I300),"")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reservaId</t>
        </is>
      </c>
      <c r="B1" t="inlineStr">
        <is>
          <t>nombre</t>
        </is>
      </c>
      <c r="C1" t="inlineStr">
        <is>
          <t>tipo</t>
        </is>
      </c>
      <c r="D1" t="inlineStr">
        <is>
          <t>importeObjetivo</t>
        </is>
      </c>
      <c r="E1" t="inlineStr">
        <is>
          <t>saldoActual</t>
        </is>
      </c>
      <c r="F1" t="inlineStr">
        <is>
          <t>aporteMensualSugerido</t>
        </is>
      </c>
      <c r="G1" t="inlineStr">
        <is>
          <t>cuentaFisica</t>
        </is>
      </c>
      <c r="H1" t="inlineStr">
        <is>
          <t>activo</t>
        </is>
      </c>
      <c r="I1" t="inlineStr">
        <is>
          <t>prioridad</t>
        </is>
      </c>
      <c r="J1" t="inlineStr">
        <is>
          <t>notas</t>
        </is>
      </c>
      <c r="K1" t="inlineStr">
        <is>
          <t>createdAt</t>
        </is>
      </c>
      <c r="L1" t="inlineStr">
        <is>
          <t>updatedAt</t>
        </is>
      </c>
    </row>
    <row r="2">
      <c r="A2" t="inlineStr">
        <is>
          <t>res-imprevistos</t>
        </is>
      </c>
      <c r="B2" t="inlineStr">
        <is>
          <t>Imprevistos vehículo/moto</t>
        </is>
      </c>
      <c r="C2" t="inlineStr">
        <is>
          <t>Imprevistos</t>
        </is>
      </c>
      <c r="D2" t="n">
        <v>600</v>
      </c>
      <c r="E2" t="n">
        <v>0</v>
      </c>
      <c r="F2" t="n">
        <v>75</v>
      </c>
      <c r="G2" t="inlineStr">
        <is>
          <t>Reserva virtual</t>
        </is>
      </c>
      <c r="H2" t="inlineStr">
        <is>
          <t>Sí</t>
        </is>
      </c>
      <c r="I2" t="inlineStr">
        <is>
          <t>Alta</t>
        </is>
      </c>
      <c r="J2" t="inlineStr">
        <is>
          <t>Para gastos no mensuales de coche/moto.</t>
        </is>
      </c>
    </row>
    <row r="3">
      <c r="A3" t="inlineStr">
        <is>
          <t>res-seguros</t>
        </is>
      </c>
      <c r="B3" t="inlineStr">
        <is>
          <t>Seguros y pagos anuales</t>
        </is>
      </c>
      <c r="C3" t="inlineStr">
        <is>
          <t>Pago futuro</t>
        </is>
      </c>
      <c r="D3" t="n">
        <v>0</v>
      </c>
      <c r="E3" t="n">
        <v>0</v>
      </c>
      <c r="F3" t="n">
        <v>0</v>
      </c>
      <c r="G3" t="inlineStr">
        <is>
          <t>Reserva virtual</t>
        </is>
      </c>
      <c r="H3" t="inlineStr">
        <is>
          <t>Sí</t>
        </is>
      </c>
      <c r="I3" t="inlineStr">
        <is>
          <t>Alta</t>
        </is>
      </c>
      <c r="J3" t="inlineStr">
        <is>
          <t>Bolsa para seguros, ITV, impuestos o suscripciones anuales.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fecha</t>
        </is>
      </c>
      <c r="C1" t="inlineStr">
        <is>
          <t>mesClave</t>
        </is>
      </c>
      <c r="D1" t="inlineStr">
        <is>
          <t>tipoDestino</t>
        </is>
      </c>
      <c r="E1" t="inlineStr">
        <is>
          <t>destinoId</t>
        </is>
      </c>
      <c r="F1" t="inlineStr">
        <is>
          <t>reservaId</t>
        </is>
      </c>
      <c r="G1" t="inlineStr">
        <is>
          <t>tipoMovimiento</t>
        </is>
      </c>
      <c r="H1" t="inlineStr">
        <is>
          <t>importe</t>
        </is>
      </c>
      <c r="I1" t="inlineStr">
        <is>
          <t>cuentaOrigen</t>
        </is>
      </c>
      <c r="J1" t="inlineStr">
        <is>
          <t>cuentaDestino</t>
        </is>
      </c>
      <c r="K1" t="inlineStr">
        <is>
          <t>notas</t>
        </is>
      </c>
      <c r="L1" t="inlineStr">
        <is>
          <t>createdAt</t>
        </is>
      </c>
      <c r="M1" t="inlineStr">
        <is>
          <t>updatedAt</t>
        </is>
      </c>
    </row>
    <row r="2">
      <c r="A2" t="inlineStr">
        <is>
          <t>LEDGER-EXAMPLE-001</t>
        </is>
      </c>
      <c r="B2" t="inlineStr">
        <is>
          <t>2026-01-15</t>
        </is>
      </c>
      <c r="C2" t="inlineStr">
        <is>
          <t>2026-01</t>
        </is>
      </c>
      <c r="D2" t="inlineStr">
        <is>
          <t>reserva</t>
        </is>
      </c>
      <c r="E2" t="inlineStr">
        <is>
          <t>res-imprevistos</t>
        </is>
      </c>
      <c r="F2" t="inlineStr">
        <is>
          <t>res-imprevistos</t>
        </is>
      </c>
      <c r="G2" t="inlineStr">
        <is>
          <t>aporte</t>
        </is>
      </c>
      <c r="H2" t="n">
        <v>75</v>
      </c>
      <c r="I2" t="inlineStr">
        <is>
          <t>cta-principal</t>
        </is>
      </c>
      <c r="J2" t="inlineStr">
        <is>
          <t>cta-ahorro</t>
        </is>
      </c>
      <c r="K2" t="inlineStr">
        <is>
          <t>Ejemplo: primer aporte del ano a la reserva de imprevistos.</t>
        </is>
      </c>
      <c r="L2" t="inlineStr">
        <is>
          <t>2026-01-15T00:00:00.000Z</t>
        </is>
      </c>
      <c r="M2" t="inlineStr">
        <is>
          <t>2026-01-15T00:00:00.000Z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aplazadoId</t>
        </is>
      </c>
      <c r="B1" t="inlineStr">
        <is>
          <t>concepto</t>
        </is>
      </c>
      <c r="C1" t="inlineStr">
        <is>
          <t>importeTotal</t>
        </is>
      </c>
      <c r="D1" t="inlineStr">
        <is>
          <t>importePagado</t>
        </is>
      </c>
      <c r="E1" t="inlineStr">
        <is>
          <t>fechaInicio</t>
        </is>
      </c>
      <c r="F1" t="inlineStr">
        <is>
          <t>fechaFin</t>
        </is>
      </c>
      <c r="G1" t="inlineStr">
        <is>
          <t>cuotaMensual</t>
        </is>
      </c>
      <c r="H1" t="inlineStr">
        <is>
          <t>categoria</t>
        </is>
      </c>
      <c r="I1" t="inlineStr">
        <is>
          <t>cuentaOrigen</t>
        </is>
      </c>
      <c r="J1" t="inlineStr">
        <is>
          <t>estado</t>
        </is>
      </c>
      <c r="K1" t="inlineStr">
        <is>
          <t>notas</t>
        </is>
      </c>
      <c r="L1" t="inlineStr">
        <is>
          <t>createdAt</t>
        </is>
      </c>
      <c r="M1" t="inlineStr">
        <is>
          <t>updatedAt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/***************</t>
        </is>
      </c>
    </row>
    <row r="2">
      <c r="A2" t="inlineStr">
        <is>
          <t xml:space="preserve"> * Apps Script genérico para la plantilla base.</t>
        </is>
      </c>
    </row>
    <row r="3">
      <c r="A3" t="inlineStr">
        <is>
          <t xml:space="preserve"> * Copiar en Extensiones &gt; Apps Script dentro de la Google Sheet.</t>
        </is>
      </c>
    </row>
    <row r="4">
      <c r="A4" t="inlineStr">
        <is>
          <t xml:space="preserve"> ***************/</t>
        </is>
      </c>
    </row>
    <row r="5">
      <c r="A5" t="inlineStr">
        <is>
          <t>const CONFIG = {</t>
        </is>
      </c>
    </row>
    <row r="6">
      <c r="A6" t="inlineStr">
        <is>
          <t xml:space="preserve">  HOJA_VISTA: 'Vista_mes',</t>
        </is>
      </c>
    </row>
    <row r="7">
      <c r="A7" t="inlineStr">
        <is>
          <t xml:space="preserve">  HOJA_MOVIMIENTOS: 'Movimientos',</t>
        </is>
      </c>
    </row>
    <row r="8">
      <c r="A8" t="inlineStr">
        <is>
          <t xml:space="preserve">  HOJA_CATEGORIAS: 'Categorias',</t>
        </is>
      </c>
    </row>
    <row r="9">
      <c r="A9" t="inlineStr">
        <is>
          <t xml:space="preserve">  CELDA_GUARDAR: 'B15'</t>
        </is>
      </c>
    </row>
    <row r="10">
      <c r="A10" t="inlineStr">
        <is>
          <t>};</t>
        </is>
      </c>
    </row>
    <row r="11"/>
    <row r="12">
      <c r="A12" t="inlineStr">
        <is>
          <t>function getSpreadsheet_() {</t>
        </is>
      </c>
    </row>
    <row r="13">
      <c r="A13" t="inlineStr">
        <is>
          <t xml:space="preserve">  return SpreadsheetApp.getActiveSpreadsheet();</t>
        </is>
      </c>
    </row>
    <row r="14">
      <c r="A14" t="inlineStr">
        <is>
          <t>}</t>
        </is>
      </c>
    </row>
    <row r="15"/>
    <row r="16">
      <c r="A16" t="inlineStr">
        <is>
          <t>function onOpen() {</t>
        </is>
      </c>
    </row>
    <row r="17">
      <c r="A17" t="inlineStr">
        <is>
          <t xml:space="preserve">  SpreadsheetApp.getUi()</t>
        </is>
      </c>
    </row>
    <row r="18">
      <c r="A18" t="inlineStr">
        <is>
          <t xml:space="preserve">    .createMenu('Finanzas')</t>
        </is>
      </c>
    </row>
    <row r="19">
      <c r="A19" t="inlineStr">
        <is>
          <t xml:space="preserve">    .addItem('Guardar movimiento', 'guardarMovimiento')</t>
        </is>
      </c>
    </row>
    <row r="20">
      <c r="A20" t="inlineStr">
        <is>
          <t xml:space="preserve">    .addItem('Probar instalación', 'pruebaInstalacion')</t>
        </is>
      </c>
    </row>
    <row r="21">
      <c r="A21" t="inlineStr">
        <is>
          <t xml:space="preserve">    .addToUi();</t>
        </is>
      </c>
    </row>
    <row r="22">
      <c r="A22" t="inlineStr">
        <is>
          <t>}</t>
        </is>
      </c>
    </row>
    <row r="23"/>
    <row r="24">
      <c r="A24" t="inlineStr">
        <is>
          <t>function onEdit(e) {</t>
        </is>
      </c>
    </row>
    <row r="25">
      <c r="A25" t="inlineStr">
        <is>
          <t xml:space="preserve">  if (!e || !e.range) return;</t>
        </is>
      </c>
    </row>
    <row r="26">
      <c r="A26" t="inlineStr">
        <is>
          <t xml:space="preserve">  const hoja = e.range.getSheet();</t>
        </is>
      </c>
    </row>
    <row r="27">
      <c r="A27" t="inlineStr">
        <is>
          <t xml:space="preserve">  if (hoja.getName() !== CONFIG.HOJA_VISTA) return;</t>
        </is>
      </c>
    </row>
    <row r="28">
      <c r="A28" t="inlineStr">
        <is>
          <t xml:space="preserve">  if (e.range.getA1Notation() !== CONFIG.CELDA_GUARDAR) return;</t>
        </is>
      </c>
    </row>
    <row r="29">
      <c r="A29" t="inlineStr">
        <is>
          <t xml:space="preserve">  const valor = String(e.range.getValue() || '').trim().toUpperCase();</t>
        </is>
      </c>
    </row>
    <row r="30">
      <c r="A30" t="inlineStr">
        <is>
          <t xml:space="preserve">  if (valor !== 'GUARDAR') return;</t>
        </is>
      </c>
    </row>
    <row r="31">
      <c r="A31" t="inlineStr">
        <is>
          <t xml:space="preserve">  guardarMovimiento();</t>
        </is>
      </c>
    </row>
    <row r="32">
      <c r="A32" t="inlineStr">
        <is>
          <t>}</t>
        </is>
      </c>
    </row>
    <row r="33"/>
    <row r="34">
      <c r="A34" t="inlineStr">
        <is>
          <t>function guardarMovimiento() {</t>
        </is>
      </c>
    </row>
    <row r="35">
      <c r="A35" t="inlineStr">
        <is>
          <t xml:space="preserve">  const ss = getSpreadsheet_();</t>
        </is>
      </c>
    </row>
    <row r="36">
      <c r="A36" t="inlineStr">
        <is>
          <t xml:space="preserve">  const vista = ss.getSheetByName(CONFIG.HOJA_VISTA);</t>
        </is>
      </c>
    </row>
    <row r="37">
      <c r="A37" t="inlineStr">
        <is>
          <t xml:space="preserve">  const movimientos = ss.getSheetByName(CONFIG.HOJA_MOVIMIENTOS);</t>
        </is>
      </c>
    </row>
    <row r="38">
      <c r="A38" t="inlineStr">
        <is>
          <t xml:space="preserve">  const categorias = ss.getSheetByName(CONFIG.HOJA_CATEGORIAS);</t>
        </is>
      </c>
    </row>
    <row r="39">
      <c r="A39" t="inlineStr">
        <is>
          <t xml:space="preserve">  const config = ss.getSheetByName('Config');</t>
        </is>
      </c>
    </row>
    <row r="40"/>
    <row r="41">
      <c r="A41" t="inlineStr">
        <is>
          <t xml:space="preserve">  if (!vista || !movimientos || !categorias || !config) {</t>
        </is>
      </c>
    </row>
    <row r="42">
      <c r="A42" t="inlineStr">
        <is>
          <t xml:space="preserve">    SpreadsheetApp.getUi().alert('Faltan hojas necesarias: Vista_mes, Movimientos, Categorias o Config.');</t>
        </is>
      </c>
    </row>
    <row r="43">
      <c r="A43" t="inlineStr">
        <is>
          <t xml:space="preserve">    return;</t>
        </is>
      </c>
    </row>
    <row r="44">
      <c r="A44" t="inlineStr">
        <is>
          <t xml:space="preserve">  }</t>
        </is>
      </c>
    </row>
    <row r="45"/>
    <row r="46">
      <c r="A46" t="inlineStr">
        <is>
          <t xml:space="preserve">  const mesActivo = config.getRange('B6').getValue();</t>
        </is>
      </c>
    </row>
    <row r="47">
      <c r="A47" t="inlineStr">
        <is>
          <t xml:space="preserve">  if (!(mesActivo instanceof Date)) {</t>
        </is>
      </c>
    </row>
    <row r="48">
      <c r="A48" t="inlineStr">
        <is>
          <t xml:space="preserve">    limpiarGuardar_(vista);</t>
        </is>
      </c>
    </row>
    <row r="49">
      <c r="A49" t="inlineStr">
        <is>
          <t xml:space="preserve">    SpreadsheetApp.getUi().alert('Config!B6 debe tener una fecha válida.');</t>
        </is>
      </c>
    </row>
    <row r="50">
      <c r="A50" t="inlineStr">
        <is>
          <t xml:space="preserve">    return;</t>
        </is>
      </c>
    </row>
    <row r="51">
      <c r="A51" t="inlineStr">
        <is>
          <t xml:space="preserve">  }</t>
        </is>
      </c>
    </row>
    <row r="52"/>
    <row r="53">
      <c r="A53" t="inlineStr">
        <is>
          <t xml:space="preserve">  const dia = Number(vista.getRange('B4').getValue());</t>
        </is>
      </c>
    </row>
    <row r="54">
      <c r="A54" t="inlineStr">
        <is>
          <t xml:space="preserve">  const concepto = String(vista.getRange('B5').getValue() || '').trim();</t>
        </is>
      </c>
    </row>
    <row r="55">
      <c r="A55" t="inlineStr">
        <is>
          <t xml:space="preserve">  const tipo = String(vista.getRange('B6').getValue() || '').trim();</t>
        </is>
      </c>
    </row>
    <row r="56">
      <c r="A56" t="inlineStr">
        <is>
          <t xml:space="preserve">  const categoria = String(vista.getRange('B7').getValue() || '').trim();</t>
        </is>
      </c>
    </row>
    <row r="57">
      <c r="A57" t="inlineStr">
        <is>
          <t xml:space="preserve">  const importe = Number(vista.getRange('B8').getValue());</t>
        </is>
      </c>
    </row>
    <row r="58">
      <c r="A58" t="inlineStr">
        <is>
          <t xml:space="preserve">  const metodo = String(vista.getRange('B9').getValue() || '').trim();</t>
        </is>
      </c>
    </row>
    <row r="59">
      <c r="A59" t="inlineStr">
        <is>
          <t xml:space="preserve">  const cuentaOrigen = String(vista.getRange('B10').getValue() || '').trim();</t>
        </is>
      </c>
    </row>
    <row r="60">
      <c r="A60" t="inlineStr">
        <is>
          <t xml:space="preserve">  let cuentaDestino = String(vista.getRange('B11').getValue() || '').trim();</t>
        </is>
      </c>
    </row>
    <row r="61">
      <c r="A61" t="inlineStr">
        <is>
          <t xml:space="preserve">  const notas = String(vista.getRange('B12').getValue() || '').trim();</t>
        </is>
      </c>
    </row>
    <row r="62"/>
    <row r="63">
      <c r="A63" t="inlineStr">
        <is>
          <t xml:space="preserve">  if (!dia || dia &lt; 1 || dia &gt; 31 || !concepto || !tipo || !categoria || !importe || importe &lt;= 0) {</t>
        </is>
      </c>
    </row>
    <row r="64">
      <c r="A64" t="inlineStr">
        <is>
          <t xml:space="preserve">    limpiarGuardar_(vista);</t>
        </is>
      </c>
    </row>
    <row r="65">
      <c r="A65" t="inlineStr">
        <is>
          <t xml:space="preserve">    SpreadsheetApp.getUi().alert('Revisa campos obligatorios: día, concepto, tipo, categoría e importe.');</t>
        </is>
      </c>
    </row>
    <row r="66">
      <c r="A66" t="inlineStr">
        <is>
          <t xml:space="preserve">    return;</t>
        </is>
      </c>
    </row>
    <row r="67">
      <c r="A67" t="inlineStr">
        <is>
          <t xml:space="preserve">  }</t>
        </is>
      </c>
    </row>
    <row r="68"/>
    <row r="69">
      <c r="A69" t="inlineStr">
        <is>
          <t xml:space="preserve">  const tiposValidos = ['Ingreso', 'Gasto', 'Ahorro', 'Transferencia interna'];</t>
        </is>
      </c>
    </row>
    <row r="70">
      <c r="A70" t="inlineStr">
        <is>
          <t xml:space="preserve">  if (!tiposValidos.includes(tipo)) {</t>
        </is>
      </c>
    </row>
    <row r="71">
      <c r="A71" t="inlineStr">
        <is>
          <t xml:space="preserve">    limpiarGuardar_(vista);</t>
        </is>
      </c>
    </row>
    <row r="72">
      <c r="A72" t="inlineStr">
        <is>
          <t xml:space="preserve">    SpreadsheetApp.getUi().alert('Tipo no válido.');</t>
        </is>
      </c>
    </row>
    <row r="73">
      <c r="A73" t="inlineStr">
        <is>
          <t xml:space="preserve">    return;</t>
        </is>
      </c>
    </row>
    <row r="74">
      <c r="A74" t="inlineStr">
        <is>
          <t xml:space="preserve">  }</t>
        </is>
      </c>
    </row>
    <row r="75"/>
    <row r="76">
      <c r="A76" t="inlineStr">
        <is>
          <t xml:space="preserve">  if (tipo === 'Ingreso' &amp;&amp; !cuentaDestino) {</t>
        </is>
      </c>
    </row>
    <row r="77">
      <c r="A77" t="inlineStr">
        <is>
          <t xml:space="preserve">    limpiarGuardar_(vista);</t>
        </is>
      </c>
    </row>
    <row r="78">
      <c r="A78" t="inlineStr">
        <is>
          <t xml:space="preserve">    SpreadsheetApp.getUi().alert('Para un ingreso indica cuenta destino.');</t>
        </is>
      </c>
    </row>
    <row r="79">
      <c r="A79" t="inlineStr">
        <is>
          <t xml:space="preserve">    return;</t>
        </is>
      </c>
    </row>
    <row r="80">
      <c r="A80" t="inlineStr">
        <is>
          <t xml:space="preserve">  }</t>
        </is>
      </c>
    </row>
    <row r="81">
      <c r="A81" t="inlineStr">
        <is>
          <t xml:space="preserve">  if ((tipo === 'Gasto' || tipo === 'Ahorro') &amp;&amp; !cuentaOrigen) {</t>
        </is>
      </c>
    </row>
    <row r="82">
      <c r="A82" t="inlineStr">
        <is>
          <t xml:space="preserve">    limpiarGuardar_(vista);</t>
        </is>
      </c>
    </row>
    <row r="83">
      <c r="A83" t="inlineStr">
        <is>
          <t xml:space="preserve">    SpreadsheetApp.getUi().alert('Para un gasto o ahorro indica cuenta origen.');</t>
        </is>
      </c>
    </row>
    <row r="84">
      <c r="A84" t="inlineStr">
        <is>
          <t xml:space="preserve">    return;</t>
        </is>
      </c>
    </row>
    <row r="85">
      <c r="A85" t="inlineStr">
        <is>
          <t xml:space="preserve">  }</t>
        </is>
      </c>
    </row>
    <row r="86">
      <c r="A86" t="inlineStr">
        <is>
          <t xml:space="preserve">  if (tipo === 'Ahorro' &amp;&amp; !cuentaDestino) cuentaDestino = 'Reserva virtual';</t>
        </is>
      </c>
    </row>
    <row r="87"/>
    <row r="88">
      <c r="A88" t="inlineStr">
        <is>
          <t xml:space="preserve">  const fecha = new Date(mesActivo.getFullYear(), mesActivo.getMonth(), dia, 12, 0, 0);</t>
        </is>
      </c>
    </row>
    <row r="89">
      <c r="A89" t="inlineStr">
        <is>
          <t xml:space="preserve">  if (fecha.getMonth() !== mesActivo.getMonth()) {</t>
        </is>
      </c>
    </row>
    <row r="90">
      <c r="A90" t="inlineStr">
        <is>
          <t xml:space="preserve">    limpiarGuardar_(vista);</t>
        </is>
      </c>
    </row>
    <row r="91">
      <c r="A91" t="inlineStr">
        <is>
          <t xml:space="preserve">    SpreadsheetApp.getUi().alert('Ese día no existe en el mes seleccionado.');</t>
        </is>
      </c>
    </row>
    <row r="92">
      <c r="A92" t="inlineStr">
        <is>
          <t xml:space="preserve">    return;</t>
        </is>
      </c>
    </row>
    <row r="93">
      <c r="A93" t="inlineStr">
        <is>
          <t xml:space="preserve">  }</t>
        </is>
      </c>
    </row>
    <row r="94"/>
    <row r="95">
      <c r="A95" t="inlineStr">
        <is>
          <t xml:space="preserve">  const tz = ss.getSpreadsheetTimeZone();</t>
        </is>
      </c>
    </row>
    <row r="96">
      <c r="A96" t="inlineStr">
        <is>
          <t xml:space="preserve">  const mesClave = Utilities.formatDate(fecha, tz, 'yyyy-MM');</t>
        </is>
      </c>
    </row>
    <row r="97">
      <c r="A97" t="inlineStr">
        <is>
          <t xml:space="preserve">  const now = new Date();</t>
        </is>
      </c>
    </row>
    <row r="98">
      <c r="A98" t="inlineStr">
        <is>
          <t xml:space="preserve">  const id = 'MOV-' + Utilities.formatDate(now, tz, 'yyyyMMdd-HHmmss') + '-' + Math.floor(Math.random() * 1000);</t>
        </is>
      </c>
    </row>
    <row r="99">
      <c r="A99" t="inlineStr">
        <is>
          <t xml:space="preserve">  const fila = primeraFilaLibrePorColumna_(movimientos, 2, 1);</t>
        </is>
      </c>
    </row>
    <row r="100"/>
    <row r="101">
      <c r="A101" t="inlineStr">
        <is>
          <t xml:space="preserve">  movimientos.getRange(fila, 1, 1, 14).setValues([[</t>
        </is>
      </c>
    </row>
    <row r="102">
      <c r="A102" t="inlineStr">
        <is>
          <t xml:space="preserve">    id, fecha, mesClave, concepto, tipo, categoria, importe, metodo,</t>
        </is>
      </c>
    </row>
    <row r="103">
      <c r="A103" t="inlineStr">
        <is>
          <t xml:space="preserve">    cuentaOrigen, cuentaDestino, notas, '', now, now</t>
        </is>
      </c>
    </row>
    <row r="104">
      <c r="A104" t="inlineStr">
        <is>
          <t xml:space="preserve">  ]]);</t>
        </is>
      </c>
    </row>
    <row r="105"/>
    <row r="106">
      <c r="A106" t="inlineStr">
        <is>
          <t xml:space="preserve">  movimientos.getRange(fila, 2).setNumberFormat('yyyy-mm-dd');</t>
        </is>
      </c>
    </row>
    <row r="107">
      <c r="A107" t="inlineStr">
        <is>
          <t xml:space="preserve">  movimientos.getRange(fila, 7).setNumberFormat('#,##0.00 €');</t>
        </is>
      </c>
    </row>
    <row r="108"/>
    <row r="109">
      <c r="A109" t="inlineStr">
        <is>
          <t xml:space="preserve">  asegurarCategoria_(categorias, categoria, tipo);</t>
        </is>
      </c>
    </row>
    <row r="110"/>
    <row r="111">
      <c r="A111" t="inlineStr">
        <is>
          <t xml:space="preserve">  vista.getRange('B4:B12').clearContent();</t>
        </is>
      </c>
    </row>
    <row r="112">
      <c r="A112" t="inlineStr">
        <is>
          <t xml:space="preserve">  vista.getRange(CONFIG.CELDA_GUARDAR).clearContent();</t>
        </is>
      </c>
    </row>
    <row r="113">
      <c r="A113" t="inlineStr">
        <is>
          <t xml:space="preserve">  ss.toast('Movimiento guardado.', 'Finanzas', 5);</t>
        </is>
      </c>
    </row>
    <row r="114">
      <c r="A114" t="inlineStr">
        <is>
          <t>}</t>
        </is>
      </c>
    </row>
    <row r="115"/>
    <row r="116">
      <c r="A116" t="inlineStr">
        <is>
          <t>function limpiarGuardar_(vista) {</t>
        </is>
      </c>
    </row>
    <row r="117">
      <c r="A117" t="inlineStr">
        <is>
          <t xml:space="preserve">  vista.getRange(CONFIG.CELDA_GUARDAR).clearContent();</t>
        </is>
      </c>
    </row>
    <row r="118">
      <c r="A118" t="inlineStr">
        <is>
          <t>}</t>
        </is>
      </c>
    </row>
    <row r="119"/>
    <row r="120">
      <c r="A120" t="inlineStr">
        <is>
          <t>function primeraFilaLibrePorColumna_(hoja, filaInicio, columna) {</t>
        </is>
      </c>
    </row>
    <row r="121">
      <c r="A121" t="inlineStr">
        <is>
          <t xml:space="preserve">  const maxRows = hoja.getMaxRows();</t>
        </is>
      </c>
    </row>
    <row r="122">
      <c r="A122" t="inlineStr">
        <is>
          <t xml:space="preserve">  const valores = hoja.getRange(filaInicio, columna, maxRows - filaInicio + 1, 1).getValues();</t>
        </is>
      </c>
    </row>
    <row r="123">
      <c r="A123" t="inlineStr">
        <is>
          <t xml:space="preserve">  for (let i = 0; i &lt; valores.length; i++) {</t>
        </is>
      </c>
    </row>
    <row r="124">
      <c r="A124" t="inlineStr">
        <is>
          <t xml:space="preserve">    if (String(valores[i][0] || '').trim() === '') return filaInicio + i;</t>
        </is>
      </c>
    </row>
    <row r="125">
      <c r="A125" t="inlineStr">
        <is>
          <t xml:space="preserve">  }</t>
        </is>
      </c>
    </row>
    <row r="126">
      <c r="A126" t="inlineStr">
        <is>
          <t xml:space="preserve">  hoja.insertRowsAfter(maxRows, 100);</t>
        </is>
      </c>
    </row>
    <row r="127">
      <c r="A127" t="inlineStr">
        <is>
          <t xml:space="preserve">  return maxRows + 1;</t>
        </is>
      </c>
    </row>
    <row r="128">
      <c r="A128" t="inlineStr">
        <is>
          <t>}</t>
        </is>
      </c>
    </row>
    <row r="129"/>
    <row r="130">
      <c r="A130" t="inlineStr">
        <is>
          <t>function asegurarCategoria_(hojaCategorias, categoria, tipo) {</t>
        </is>
      </c>
    </row>
    <row r="131">
      <c r="A131" t="inlineStr">
        <is>
          <t xml:space="preserve">  const ultimaFila = Math.max(hojaCategorias.getLastRow(), 2);</t>
        </is>
      </c>
    </row>
    <row r="132">
      <c r="A132" t="inlineStr">
        <is>
          <t xml:space="preserve">  const existentes = hojaCategorias.getRange(2, 2, Math.max(ultimaFila - 1, 1), 1)</t>
        </is>
      </c>
    </row>
    <row r="133">
      <c r="A133" t="inlineStr">
        <is>
          <t xml:space="preserve">    .getValues().flat().map(v =&gt; String(v || '').trim().toLowerCase());</t>
        </is>
      </c>
    </row>
    <row r="134">
      <c r="A134" t="inlineStr">
        <is>
          <t xml:space="preserve">  if (existentes.includes(categoria.toLowerCase())) return;</t>
        </is>
      </c>
    </row>
    <row r="135"/>
    <row r="136">
      <c r="A136" t="inlineStr">
        <is>
          <t xml:space="preserve">  const fila = primeraFilaLibrePorColumna_(hojaCategorias, 2, 1);</t>
        </is>
      </c>
    </row>
    <row r="137">
      <c r="A137" t="inlineStr">
        <is>
          <t xml:space="preserve">  const now = new Date();</t>
        </is>
      </c>
    </row>
    <row r="138">
      <c r="A138" t="inlineStr">
        <is>
          <t xml:space="preserve">  hojaCategorias.getRange(fila, 1, 1, 12).setValues([[</t>
        </is>
      </c>
    </row>
    <row r="139">
      <c r="A139" t="inlineStr">
        <is>
          <t xml:space="preserve">    'cat-' + categoria.toLowerCase().replace(/\s+/g, '-'),</t>
        </is>
      </c>
    </row>
    <row r="140">
      <c r="A140" t="inlineStr">
        <is>
          <t xml:space="preserve">    categoria,</t>
        </is>
      </c>
    </row>
    <row r="141">
      <c r="A141" t="inlineStr">
        <is>
          <t xml:space="preserve">    tipo === 'Ingreso' ? 0 : 100,</t>
        </is>
      </c>
    </row>
    <row r="142">
      <c r="A142" t="inlineStr">
        <is>
          <t xml:space="preserve">    tipo,</t>
        </is>
      </c>
    </row>
    <row r="143">
      <c r="A143" t="inlineStr">
        <is>
          <t xml:space="preserve">    'Sí',</t>
        </is>
      </c>
    </row>
    <row r="144">
      <c r="A144" t="inlineStr">
        <is>
          <t xml:space="preserve">    'Auto',</t>
        </is>
      </c>
    </row>
    <row r="145">
      <c r="A145" t="inlineStr">
        <is>
          <t xml:space="preserve">    '#6B7280',</t>
        </is>
      </c>
    </row>
    <row r="146">
      <c r="A146" t="inlineStr">
        <is>
          <t xml:space="preserve">    '',</t>
        </is>
      </c>
    </row>
    <row r="147">
      <c r="A147" t="inlineStr">
        <is>
          <t xml:space="preserve">    fila - 1,</t>
        </is>
      </c>
    </row>
    <row r="148">
      <c r="A148" t="inlineStr">
        <is>
          <t xml:space="preserve">    'Añadida automáticamente desde Vista_mes',</t>
        </is>
      </c>
    </row>
    <row r="149">
      <c r="A149" t="inlineStr">
        <is>
          <t xml:space="preserve">    now,</t>
        </is>
      </c>
    </row>
    <row r="150">
      <c r="A150" t="inlineStr">
        <is>
          <t xml:space="preserve">    now</t>
        </is>
      </c>
    </row>
    <row r="151">
      <c r="A151" t="inlineStr">
        <is>
          <t xml:space="preserve">  ]]);</t>
        </is>
      </c>
    </row>
    <row r="152">
      <c r="A152" t="inlineStr">
        <is>
          <t>}</t>
        </is>
      </c>
    </row>
    <row r="153"/>
    <row r="154">
      <c r="A154" t="inlineStr">
        <is>
          <t>function pruebaInstalacion() {</t>
        </is>
      </c>
    </row>
    <row r="155">
      <c r="A155" t="inlineStr">
        <is>
          <t xml:space="preserve">  SpreadsheetApp.getUi().alert('Script instalado correctamente.');</t>
        </is>
      </c>
    </row>
    <row r="156">
      <c r="A156" t="inlineStr">
        <is>
          <t>}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2026-06-02T19:58:28Z</dcterms:created>
  <dcterms:modified xsi:type="dcterms:W3CDTF">2026-06-02T19:58:28Z</dcterms:modified>
</cp:coreProperties>
</file>