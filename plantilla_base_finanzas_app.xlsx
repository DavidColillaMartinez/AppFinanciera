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tables/table9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b65687be8946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LEEME" sheetId="1" r:id="Rdc061ae176934a95"/>
    <x:sheet xmlns:r="http://schemas.openxmlformats.org/officeDocument/2006/relationships" name="Config" sheetId="2" r:id="Rf5f14e4361854aa2"/>
    <x:sheet xmlns:r="http://schemas.openxmlformats.org/officeDocument/2006/relationships" name="Dashboard" sheetId="3" r:id="R34a9fe705b2540d4"/>
    <x:sheet xmlns:r="http://schemas.openxmlformats.org/officeDocument/2006/relationships" name="Vista_mes" sheetId="4" r:id="R65b45099352641ec"/>
    <x:sheet xmlns:r="http://schemas.openxmlformats.org/officeDocument/2006/relationships" name="Movimientos" sheetId="5" r:id="Ra2b880339e1d4614"/>
    <x:sheet xmlns:r="http://schemas.openxmlformats.org/officeDocument/2006/relationships" name="Categorias" sheetId="6" r:id="Rc498e070ba544eb2"/>
    <x:sheet xmlns:r="http://schemas.openxmlformats.org/officeDocument/2006/relationships" name="Cuentas" sheetId="7" r:id="Rfeaed26ce99b4514"/>
    <x:sheet xmlns:r="http://schemas.openxmlformats.org/officeDocument/2006/relationships" name="Gastos_fijos" sheetId="8" r:id="R97314c9bbb004501"/>
    <x:sheet xmlns:r="http://schemas.openxmlformats.org/officeDocument/2006/relationships" name="Pagos_futuros" sheetId="9" r:id="Rbcae0834caca425f"/>
    <x:sheet xmlns:r="http://schemas.openxmlformats.org/officeDocument/2006/relationships" name="Objetivos" sheetId="10" r:id="R6978bcfbd5344400"/>
    <x:sheet xmlns:r="http://schemas.openxmlformats.org/officeDocument/2006/relationships" name="Reservas" sheetId="11" r:id="R913bb701785a4292"/>
    <x:sheet xmlns:r="http://schemas.openxmlformats.org/officeDocument/2006/relationships" name="Mov_reservas" sheetId="12" r:id="Rc4693f1215ad4bbe"/>
    <x:sheet xmlns:r="http://schemas.openxmlformats.org/officeDocument/2006/relationships" name="Pagos_aplazados" sheetId="13" r:id="Re886a9262fde40f0"/>
    <x:sheet xmlns:r="http://schemas.openxmlformats.org/officeDocument/2006/relationships" name="AppsScript" sheetId="14" r:id="R3539b08e561a41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.00 €"/>
    <x:numFmt numFmtId="202" formatCode="mmmm yyyy"/>
    <x:numFmt numFmtId="203" formatCode="0.00%"/>
    <x:numFmt numFmtId="204" formatCode="mmm yyyy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da4047cdf24d5e" /><Relationship Type="http://schemas.openxmlformats.org/officeDocument/2006/relationships/theme" Target="/xl/theme/theme1.xml" Id="Re4d0d63661a04b76" /><Relationship Type="http://schemas.openxmlformats.org/officeDocument/2006/relationships/sharedStrings" Target="/xl/sharedStrings.xml" Id="R10eb50886907424c" /><Relationship Type="http://schemas.openxmlformats.org/officeDocument/2006/relationships/worksheet" Target="/xl/worksheets/sheet1.xml" Id="Rdc061ae176934a95" /><Relationship Type="http://schemas.openxmlformats.org/officeDocument/2006/relationships/worksheet" Target="/xl/worksheets/sheet2.xml" Id="Rf5f14e4361854aa2" /><Relationship Type="http://schemas.openxmlformats.org/officeDocument/2006/relationships/worksheet" Target="/xl/worksheets/sheet3.xml" Id="R34a9fe705b2540d4" /><Relationship Type="http://schemas.openxmlformats.org/officeDocument/2006/relationships/worksheet" Target="/xl/worksheets/sheet4.xml" Id="R65b45099352641ec" /><Relationship Type="http://schemas.openxmlformats.org/officeDocument/2006/relationships/worksheet" Target="/xl/worksheets/sheet5.xml" Id="Ra2b880339e1d4614" /><Relationship Type="http://schemas.openxmlformats.org/officeDocument/2006/relationships/worksheet" Target="/xl/worksheets/sheet6.xml" Id="Rc498e070ba544eb2" /><Relationship Type="http://schemas.openxmlformats.org/officeDocument/2006/relationships/worksheet" Target="/xl/worksheets/sheet7.xml" Id="Rfeaed26ce99b4514" /><Relationship Type="http://schemas.openxmlformats.org/officeDocument/2006/relationships/worksheet" Target="/xl/worksheets/sheet8.xml" Id="R97314c9bbb004501" /><Relationship Type="http://schemas.openxmlformats.org/officeDocument/2006/relationships/worksheet" Target="/xl/worksheets/sheet9.xml" Id="Rbcae0834caca425f" /><Relationship Type="http://schemas.openxmlformats.org/officeDocument/2006/relationships/worksheet" Target="/xl/worksheets/sheet10.xml" Id="R6978bcfbd5344400" /><Relationship Type="http://schemas.openxmlformats.org/officeDocument/2006/relationships/worksheet" Target="/xl/worksheets/sheet11.xml" Id="R913bb701785a4292" /><Relationship Type="http://schemas.openxmlformats.org/officeDocument/2006/relationships/worksheet" Target="/xl/worksheets/sheet12.xml" Id="Rc4693f1215ad4bbe" /><Relationship Type="http://schemas.openxmlformats.org/officeDocument/2006/relationships/worksheet" Target="/xl/worksheets/sheet13.xml" Id="Re886a9262fde40f0" /><Relationship Type="http://schemas.openxmlformats.org/officeDocument/2006/relationships/worksheet" Target="/xl/worksheets/sheet14.xml" Id="R3539b08e561a41a6" /></Relationships>
</file>

<file path=xl/tables/table1.xml><?xml version="1.0" encoding="utf-8"?>
<x:table xmlns:x="http://schemas.openxmlformats.org/spreadsheetml/2006/main" id="3" name="tblMovimientos" displayName="tblMovimientos" ref="A1:N1000" headerRowCount="1">
  <x:tableColumns count="14">
    <x:tableColumn id="1" name="id"/>
    <x:tableColumn id="2" name="fecha"/>
    <x:tableColumn id="3" name="mesClave"/>
    <x:tableColumn id="4" name="concepto"/>
    <x:tableColumn id="5" name="tipo"/>
    <x:tableColumn id="6" name="categoria"/>
    <x:tableColumn id="7" name="importe"/>
    <x:tableColumn id="8" name="metodo"/>
    <x:tableColumn id="9" name="cuentaOrigen"/>
    <x:tableColumn id="10" name="cuentaDestino"/>
    <x:tableColumn id="11" name="notas"/>
    <x:tableColumn id="12" name="reservaId"/>
    <x:tableColumn id="13" name="createdAt"/>
    <x:tableColumn id="14" name="updatedAt"/>
  </x:tableColumns>
  <x:tableStyleInfo name="TableStyleMedium2" showRowStripes="1"/>
</x:table>
</file>

<file path=xl/tables/table2.xml><?xml version="1.0" encoding="utf-8"?>
<x:table xmlns:x="http://schemas.openxmlformats.org/spreadsheetml/2006/main" id="1" name="tblCategorias" displayName="tblCategorias" ref="A1:L100" headerRowCount="1">
  <x:tableColumns count="12">
    <x:tableColumn id="1" name="categoriaId"/>
    <x:tableColumn id="2" name="nombre"/>
    <x:tableColumn id="3" name="presupuestoMensual"/>
    <x:tableColumn id="4" name="tipoHabitual"/>
    <x:tableColumn id="5" name="activo"/>
    <x:tableColumn id="6" name="grupo"/>
    <x:tableColumn id="7" name="color"/>
    <x:tableColumn id="8" name="icono"/>
    <x:tableColumn id="9" name="orden"/>
    <x:tableColumn id="10" name="notas"/>
    <x:tableColumn id="11" name="createdAt"/>
    <x:tableColumn id="12" name="updatedAt"/>
  </x:tableColumns>
  <x:tableStyleInfo name="TableStyleMedium2" showRowStripes="1"/>
</x:table>
</file>

<file path=xl/tables/table3.xml><?xml version="1.0" encoding="utf-8"?>
<x:table xmlns:x="http://schemas.openxmlformats.org/spreadsheetml/2006/main" id="2" name="tblCuentas" displayName="tblCuentas" ref="A1:L100" headerRowCount="1">
  <x:tableColumns count="12">
    <x:tableColumn id="1" name="cuentaId"/>
    <x:tableColumn id="2" name="nombre"/>
    <x:tableColumn id="3" name="tipo"/>
    <x:tableColumn id="4" name="moneda"/>
    <x:tableColumn id="5" name="saldoInicial"/>
    <x:tableColumn id="6" name="saldoActualManual"/>
    <x:tableColumn id="7" name="incluirDashboard"/>
    <x:tableColumn id="8" name="activo"/>
    <x:tableColumn id="9" name="color"/>
    <x:tableColumn id="10" name="notas"/>
    <x:tableColumn id="11" name="createdAt"/>
    <x:tableColumn id="12" name="updatedAt"/>
  </x:tableColumns>
  <x:tableStyleInfo name="TableStyleMedium2" showRowStripes="1"/>
</x:table>
</file>

<file path=xl/tables/table4.xml><?xml version="1.0" encoding="utf-8"?>
<x:table xmlns:x="http://schemas.openxmlformats.org/spreadsheetml/2006/main" id="4" name="tblGastosFijos" displayName="tblGastosFijos" ref="A1:M300" headerRowCount="1">
  <x:tableColumns count="13">
    <x:tableColumn id="1" name="fijoId"/>
    <x:tableColumn id="2" name="concepto"/>
    <x:tableColumn id="3" name="categoria"/>
    <x:tableColumn id="4" name="importe"/>
    <x:tableColumn id="5" name="frecuencia"/>
    <x:tableColumn id="6" name="diaCargo"/>
    <x:tableColumn id="7" name="cuentaOrigen"/>
    <x:tableColumn id="8" name="activo"/>
    <x:tableColumn id="9" name="fechaInicio"/>
    <x:tableColumn id="10" name="fechaFin"/>
    <x:tableColumn id="11" name="notas"/>
    <x:tableColumn id="12" name="createdAt"/>
    <x:tableColumn id="13" name="updatedAt"/>
  </x:tableColumns>
  <x:tableStyleInfo name="TableStyleMedium2" showRowStripes="1"/>
</x:table>
</file>

<file path=xl/tables/table5.xml><?xml version="1.0" encoding="utf-8"?>
<x:table xmlns:x="http://schemas.openxmlformats.org/spreadsheetml/2006/main" id="5" name="tblPagosFuturos" displayName="tblPagosFuturos" ref="A1:N300" headerRowCount="1">
  <x:tableColumns count="14">
    <x:tableColumn id="1" name="pagoId"/>
    <x:tableColumn id="2" name="concepto"/>
    <x:tableColumn id="3" name="categoria"/>
    <x:tableColumn id="4" name="importeObjetivo"/>
    <x:tableColumn id="5" name="fechaVencimiento"/>
    <x:tableColumn id="6" name="frecuencia"/>
    <x:tableColumn id="7" name="cuentaReserva"/>
    <x:tableColumn id="8" name="activo"/>
    <x:tableColumn id="9" name="saldoReservado"/>
    <x:tableColumn id="10" name="mesesRestantes"/>
    <x:tableColumn id="11" name="aporteMensual"/>
    <x:tableColumn id="12" name="notas"/>
    <x:tableColumn id="13" name="createdAt"/>
    <x:tableColumn id="14" name="updatedAt"/>
  </x:tableColumns>
  <x:tableStyleInfo name="TableStyleMedium2" showRowStripes="1"/>
</x:table>
</file>

<file path=xl/tables/table6.xml><?xml version="1.0" encoding="utf-8"?>
<x:table xmlns:x="http://schemas.openxmlformats.org/spreadsheetml/2006/main" id="6" name="tblObjetivos" displayName="tblObjetivos" ref="A1:N300" headerRowCount="1">
  <x:tableColumns count="14">
    <x:tableColumn id="1" name="objetivoId"/>
    <x:tableColumn id="2" name="nombre"/>
    <x:tableColumn id="3" name="tipo"/>
    <x:tableColumn id="4" name="cuentaAhorro"/>
    <x:tableColumn id="5" name="importeObjetivo"/>
    <x:tableColumn id="6" name="fechaObjetivo"/>
    <x:tableColumn id="7" name="prioridad"/>
    <x:tableColumn id="8" name="saldoActual"/>
    <x:tableColumn id="9" name="mesesRestantes"/>
    <x:tableColumn id="10" name="aporteMensual"/>
    <x:tableColumn id="11" name="estado"/>
    <x:tableColumn id="12" name="notas"/>
    <x:tableColumn id="13" name="createdAt"/>
    <x:tableColumn id="14" name="updatedAt"/>
  </x:tableColumns>
  <x:tableStyleInfo name="TableStyleMedium2" showRowStripes="1"/>
</x:table>
</file>

<file path=xl/tables/table7.xml><?xml version="1.0" encoding="utf-8"?>
<x:table xmlns:x="http://schemas.openxmlformats.org/spreadsheetml/2006/main" id="7" name="tblReservas" displayName="tblReservas" ref="A1:L300" headerRowCount="1">
  <x:tableColumns count="12">
    <x:tableColumn id="1" name="reservaId"/>
    <x:tableColumn id="2" name="nombre"/>
    <x:tableColumn id="3" name="tipo"/>
    <x:tableColumn id="4" name="importeObjetivo"/>
    <x:tableColumn id="5" name="saldoActual"/>
    <x:tableColumn id="6" name="aporteMensualSugerido"/>
    <x:tableColumn id="7" name="cuentaFisica"/>
    <x:tableColumn id="8" name="activo"/>
    <x:tableColumn id="9" name="prioridad"/>
    <x:tableColumn id="10" name="notas"/>
    <x:tableColumn id="11" name="createdAt"/>
    <x:tableColumn id="12" name="updatedAt"/>
  </x:tableColumns>
  <x:tableStyleInfo name="TableStyleMedium2" showRowStripes="1"/>
</x:table>
</file>

<file path=xl/tables/table8.xml><?xml version="1.0" encoding="utf-8"?>
<x:table xmlns:x="http://schemas.openxmlformats.org/spreadsheetml/2006/main" id="8" name="tblMovReservas" displayName="tblMovReservas" ref="A1:I1000" headerRowCount="1">
  <x:tableColumns count="9">
    <x:tableColumn id="1" name="id"/>
    <x:tableColumn id="2" name="fecha"/>
    <x:tableColumn id="3" name="reservaId"/>
    <x:tableColumn id="4" name="tipoMovimiento"/>
    <x:tableColumn id="5" name="importe"/>
    <x:tableColumn id="6" name="cuentaOrigen"/>
    <x:tableColumn id="7" name="cuentaDestino"/>
    <x:tableColumn id="8" name="notas"/>
    <x:tableColumn id="9" name="createdAt"/>
  </x:tableColumns>
  <x:tableStyleInfo name="TableStyleMedium2" showRowStripes="1"/>
</x:table>
</file>

<file path=xl/tables/table9.xml><?xml version="1.0" encoding="utf-8"?>
<x:table xmlns:x="http://schemas.openxmlformats.org/spreadsheetml/2006/main" id="9" name="tblPagosAplazados" displayName="tblPagosAplazados" ref="A1:M300" headerRowCount="1">
  <x:tableColumns count="13">
    <x:tableColumn id="1" name="aplazadoId"/>
    <x:tableColumn id="2" name="concepto"/>
    <x:tableColumn id="3" name="importeTotal"/>
    <x:tableColumn id="4" name="importePagado"/>
    <x:tableColumn id="5" name="fechaInicio"/>
    <x:tableColumn id="6" name="fechaFin"/>
    <x:tableColumn id="7" name="cuotaMensual"/>
    <x:tableColumn id="8" name="categoria"/>
    <x:tableColumn id="9" name="cuentaOrigen"/>
    <x:tableColumn id="10" name="estado"/>
    <x:tableColumn id="11" name="notas"/>
    <x:tableColumn id="12" name="createdAt"/>
    <x:tableColumn id="13" name="updated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ce419309a28f42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60f79a4cb6634f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875b8e913e97486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35038ea10c4943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5.xml" Id="R4ebfe554321a430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6.xml" Id="R2aec3ca55a3843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7.xml" Id="R69bbf23efcbb4c9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8.xml" Id="Rf5e2c6d8178c496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9.xml" Id="Rf3399ac3152645e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6" t="str">
        <x:v>PLANTILLA BASE - FINANZAS PERSONALES</x:v>
      </x:c>
      <x:c r="B1" s="6" t="str"/>
    </x:row>
    <x:row r="2">
      <x:c r="A2" s="12" t="str">
        <x:v>Objetivo</x:v>
      </x:c>
      <x:c r="B2" s="12" t="str">
        <x:v>Base genérica para que cada usuario la suba a Google Sheets y conecte la app.</x:v>
      </x:c>
    </x:row>
    <x:row r="3">
      <x:c r="A3" s="12" t="str">
        <x:v>Cómo usarla</x:v>
      </x:c>
      <x:c r="B3" s="12" t="str">
        <x:v>1) Subir este XLSX a Google Drive. 2) Abrir con Google Sheets. 3) Copiar el código de AppsScript si se quiere usar Vista_mes. 4) Conectar la app.</x:v>
      </x:c>
    </x:row>
    <x:row r="4">
      <x:c r="A4" s="12" t="str">
        <x:v>Regla técnica</x:v>
      </x:c>
      <x:c r="B4" s="12" t="str">
        <x:v>No cambies nombres de hojas ni encabezados si vas a usar la app. Son el contrato de datos.</x:v>
      </x:c>
    </x:row>
    <x:row r="5">
      <x:c r="A5" s="12" t="str">
        <x:v>Datos personales</x:v>
      </x:c>
      <x:c r="B5" s="12" t="str">
        <x:v>Esta versión no incluye datos financieros personales. Solo estructura, categorías base y fórmulas.</x:v>
      </x:c>
    </x:row>
    <x:row r="6">
      <x:c r="A6" s="12" t="str">
        <x:v>Fuente de verdad</x:v>
      </x:c>
      <x:c r="B6" s="12" t="str">
        <x:v>Movimientos es el núcleo. Dashboard, planes y app calculan desde Movimientos, Categorias, Cuentas, Reservas y Objetivos.</x:v>
      </x:c>
    </x:row>
    <x:row r="7">
      <x:c r="A7" s="12" t="str">
        <x:v>Versión plantilla</x:v>
      </x:c>
      <x:c r="B7" s="12" t="str">
        <x:v>1.0.0</x:v>
      </x:c>
    </x:row>
    <x:row r="8">
      <x:c r="A8" s="12" t="str">
        <x:v>Fecha</x:v>
      </x:c>
      <x:c r="B8" s="12" t="str">
        <x:v>2026-05-31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80" hidden="0" customWidth="1"/>
  </x:cols>
  <x:sheetData>
    <x:row r="1">
      <x:c r="A1" s="6" t="str">
        <x:v>Clave</x:v>
      </x:c>
      <x:c r="B1" s="6" t="str">
        <x:v>Valor</x:v>
      </x:c>
      <x:c r="C1" s="6" t="str">
        <x:v>Descripción</x:v>
      </x:c>
    </x:row>
    <x:row r="2">
      <x:c r="A2" s="12" t="str">
        <x:v>templateVersion</x:v>
      </x:c>
      <x:c r="B2" s="12" t="str">
        <x:v>1.0.0</x:v>
      </x:c>
      <x:c r="C2" s="12" t="str">
        <x:v>Versión de estructura de la plantilla. Útil para migraciones de la app.</x:v>
      </x:c>
    </x:row>
    <x:row r="3">
      <x:c r="A3" s="12" t="str">
        <x:v>currency</x:v>
      </x:c>
      <x:c r="B3" s="12" t="str">
        <x:v>EUR</x:v>
      </x:c>
      <x:c r="C3" s="12" t="str">
        <x:v>Moneda principal.</x:v>
      </x:c>
    </x:row>
    <x:row r="4">
      <x:c r="A4" s="12" t="str">
        <x:v>year</x:v>
      </x:c>
      <x:c r="B4" s="12" t="n">
        <x:v>2026</x:v>
      </x:c>
      <x:c r="C4" s="12" t="str">
        <x:v>Año activo para dashboard/calendario.</x:v>
      </x:c>
    </x:row>
    <x:row r="5">
      <x:c r="A5" s="12" t="str">
        <x:v>month</x:v>
      </x:c>
      <x:c r="B5" s="12" t="n">
        <x:v>1</x:v>
      </x:c>
      <x:c r="C5" s="12" t="str">
        <x:v>Mes activo numérico: 1-12.</x:v>
      </x:c>
    </x:row>
    <x:row r="6">
      <x:c r="A6" s="12" t="str">
        <x:v>dashboardMonth</x:v>
      </x:c>
      <x:c r="B6" s="12" t="n">
        <x:f>DATE(B4,B5,1)</x:f>
        <x:v>46023</x:v>
      </x:c>
      <x:c r="C6" s="12" t="str">
        <x:v>Primer día del mes activo.</x:v>
      </x:c>
    </x:row>
    <x:row r="7">
      <x:c r="A7" s="12" t="str">
        <x:v>firstDataRow</x:v>
      </x:c>
      <x:c r="B7" s="12" t="n">
        <x:v>2</x:v>
      </x:c>
      <x:c r="C7" s="12" t="str">
        <x:v>Primera fila de datos en tablas principales.</x:v>
      </x:c>
    </x:row>
    <x:row r="8">
      <x:c r="A8" s="12" t="str">
        <x:v>schemaLocked</x:v>
      </x:c>
      <x:c r="B8" s="12" t="str">
        <x:v>Sí</x:v>
      </x:c>
      <x:c r="C8" s="12" t="str">
        <x:v>No cambiar nombres de columnas si la app está conectada.</x:v>
      </x:c>
    </x:row>
    <x:row r="9">
      <x:c r="A9" s="12" t="str">
        <x:v>ownerName</x:v>
      </x:c>
      <x:c r="B9" s="12" t="str"/>
      <x:c r="C9" s="12" t="str">
        <x:v>Opcional: nombre del usuario.</x:v>
      </x:c>
    </x:row>
    <x:row r="10">
      <x:c r="A10" s="12" t="str">
        <x:v>appMode</x:v>
      </x:c>
      <x:c r="B10" s="12" t="str">
        <x:v>Sheet as database</x:v>
      </x:c>
      <x:c r="C10" s="12" t="str">
        <x:v>La Google Sheet actúa como base de datos ligera.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7" max="7" width="24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" t="str">
        <x:v>DASHBOARD BASE</x:v>
      </x:c>
      <x:c r="B1" s="6" t="str"/>
      <x:c r="G1" s="6" t="str">
        <x:v>Presupuesto por categoría</x:v>
      </x:c>
      <x:c r="H1" s="6" t="str"/>
      <x:c r="I1" s="6" t="str"/>
      <x:c r="J1" s="6" t="str"/>
    </x:row>
    <x:row r="2">
      <x:c r="A2" t="str">
        <x:v>Mes activo</x:v>
      </x:c>
      <x:c r="B2" s="20" t="n">
        <x:f>Config!B6</x:f>
        <x:v>46023</x:v>
      </x:c>
      <x:c r="G2" s="6" t="str">
        <x:v>Categoría</x:v>
      </x:c>
      <x:c r="H2" s="6" t="str">
        <x:v>Presupuesto</x:v>
      </x:c>
      <x:c r="I2" s="6" t="str">
        <x:v>Gastado mes</x:v>
      </x:c>
      <x:c r="J2" s="6" t="str">
        <x:v>Disponible</x:v>
      </x:c>
    </x:row>
    <x:row r="3">
      <x:c r="A3" t="str">
        <x:v>Ingresos mes</x:v>
      </x:c>
      <x:c r="B3" s="16" t="n">
        <x:f>IFERROR(SUMIFS(Movimientos!G2:G1000,Movimientos!E2:E1000,"Ingreso",Movimientos!C2:C1000,TEXT($B$2,"yyyy-mm")),0)</x:f>
        <x:v>0</x:v>
      </x:c>
      <x:c r="G3" t="str">
        <x:f>IF(Categorias!B2="","",Categorias!B2)</x:f>
        <x:v>Ingresos</x:v>
      </x:c>
      <x:c r="H3" s="16" t="n">
        <x:f>IFERROR(IF(G3="","",Categorias!C2),"")</x:f>
        <x:v>0</x:v>
      </x:c>
      <x:c r="I3" s="16" t="n">
        <x:f>IFERROR(IF(G3="","",SUMIFS(Movimientos!$G$2:$G$1000,Movimientos!$E$2:$E$1000,"Gasto",Movimientos!$F$2:$F$1000,G3,Movimientos!$C$2:$C$1000,TEXT($B$2,"yyyy-mm"))),"")</x:f>
        <x:v>0</x:v>
      </x:c>
      <x:c r="J3" s="16" t="n">
        <x:f>IFERROR(IF(G3="","",H3-I3),"")</x:f>
        <x:v>0</x:v>
      </x:c>
    </x:row>
    <x:row r="4">
      <x:c r="A4" t="str">
        <x:v>Gastos mes</x:v>
      </x:c>
      <x:c r="B4" s="16" t="n">
        <x:f>IFERROR(SUMIFS(Movimientos!G2:G1000,Movimientos!E2:E1000,"Gasto",Movimientos!C2:C1000,TEXT($B$2,"yyyy-mm")),0)</x:f>
        <x:v>0</x:v>
      </x:c>
      <x:c r="G4" t="str">
        <x:f>IF(Categorias!B3="","",Categorias!B3)</x:f>
        <x:v>Supermercado</x:v>
      </x:c>
      <x:c r="H4" s="16" t="n">
        <x:f>IFERROR(IF(G4="","",Categorias!C3),"")</x:f>
        <x:v>170</x:v>
      </x:c>
      <x:c r="I4" s="16" t="n">
        <x:f>IFERROR(IF(G4="","",SUMIFS(Movimientos!$G$2:$G$1000,Movimientos!$E$2:$E$1000,"Gasto",Movimientos!$F$2:$F$1000,G4,Movimientos!$C$2:$C$1000,TEXT($B$2,"yyyy-mm"))),"")</x:f>
        <x:v>0</x:v>
      </x:c>
      <x:c r="J4" s="16" t="n">
        <x:f>IFERROR(IF(G4="","",H4-I4),"")</x:f>
        <x:v>170</x:v>
      </x:c>
    </x:row>
    <x:row r="5">
      <x:c r="A5" t="str">
        <x:v>Ahorro registrado</x:v>
      </x:c>
      <x:c r="B5" s="16" t="n">
        <x:f>IFERROR(SUMIFS(Movimientos!G2:G1000,Movimientos!E2:E1000,"Ahorro",Movimientos!C2:C1000,TEXT($B$2,"yyyy-mm")),0)</x:f>
        <x:v>0</x:v>
      </x:c>
      <x:c r="G5" t="str">
        <x:f>IF(Categorias!B4="","",Categorias!B4)</x:f>
        <x:v>Restauración</x:v>
      </x:c>
      <x:c r="H5" s="16" t="n">
        <x:f>IFERROR(IF(G5="","",Categorias!C4),"")</x:f>
        <x:v>80</x:v>
      </x:c>
      <x:c r="I5" s="16" t="n">
        <x:f>IFERROR(IF(G5="","",SUMIFS(Movimientos!$G$2:$G$1000,Movimientos!$E$2:$E$1000,"Gasto",Movimientos!$F$2:$F$1000,G5,Movimientos!$C$2:$C$1000,TEXT($B$2,"yyyy-mm"))),"")</x:f>
        <x:v>0</x:v>
      </x:c>
      <x:c r="J5" s="16" t="n">
        <x:f>IFERROR(IF(G5="","",H5-I5),"")</x:f>
        <x:v>80</x:v>
      </x:c>
    </x:row>
    <x:row r="6">
      <x:c r="A6" t="str">
        <x:v>Balance mes</x:v>
      </x:c>
      <x:c r="B6" s="16" t="n">
        <x:f>IFERROR(B3-B4,0)</x:f>
        <x:v>0</x:v>
      </x:c>
      <x:c r="G6" t="str">
        <x:f>IF(Categorias!B5="","",Categorias!B5)</x:f>
        <x:v>Gasolina</x:v>
      </x:c>
      <x:c r="H6" s="16" t="n">
        <x:f>IFERROR(IF(G6="","",Categorias!C5),"")</x:f>
        <x:v>120</x:v>
      </x:c>
      <x:c r="I6" s="16" t="n">
        <x:f>IFERROR(IF(G6="","",SUMIFS(Movimientos!$G$2:$G$1000,Movimientos!$E$2:$E$1000,"Gasto",Movimientos!$F$2:$F$1000,G6,Movimientos!$C$2:$C$1000,TEXT($B$2,"yyyy-mm"))),"")</x:f>
        <x:v>0</x:v>
      </x:c>
      <x:c r="J6" s="16" t="n">
        <x:f>IFERROR(IF(G6="","",H6-I6),"")</x:f>
        <x:v>120</x:v>
      </x:c>
    </x:row>
    <x:row r="7">
      <x:c r="A7" t="str">
        <x:v>Nº movimientos</x:v>
      </x:c>
      <x:c r="B7" s="16" t="n">
        <x:f>IFERROR(COUNTIFS(Movimientos!C2:C1000,TEXT($B$2,"yyyy-mm")),0)</x:f>
        <x:v>0</x:v>
      </x:c>
      <x:c r="G7" t="str">
        <x:f>IF(Categorias!B6="","",Categorias!B6)</x:f>
        <x:v>Ocio</x:v>
      </x:c>
      <x:c r="H7" s="16" t="n">
        <x:f>IFERROR(IF(G7="","",Categorias!C6),"")</x:f>
        <x:v>60</x:v>
      </x:c>
      <x:c r="I7" s="16" t="n">
        <x:f>IFERROR(IF(G7="","",SUMIFS(Movimientos!$G$2:$G$1000,Movimientos!$E$2:$E$1000,"Gasto",Movimientos!$F$2:$F$1000,G7,Movimientos!$C$2:$C$1000,TEXT($B$2,"yyyy-mm"))),"")</x:f>
        <x:v>0</x:v>
      </x:c>
      <x:c r="J7" s="16" t="n">
        <x:f>IFERROR(IF(G7="","",H7-I7),"")</x:f>
        <x:v>60</x:v>
      </x:c>
    </x:row>
    <x:row r="8">
      <x:c r="A8" t="str">
        <x:v>Presupuesto gasto categorías activas</x:v>
      </x:c>
      <x:c r="B8" s="16" t="n">
        <x:f>IFERROR(SUMIFS(Categorias!C2:C200,Categorias!D2:D200,"Gasto",Categorias!E2:E200,"Sí"),0)</x:f>
        <x:v>580</x:v>
      </x:c>
      <x:c r="G8" t="str">
        <x:f>IF(Categorias!B7="","",Categorias!B7)</x:f>
        <x:v>Estética</x:v>
      </x:c>
      <x:c r="H8" s="16" t="n">
        <x:f>IFERROR(IF(G8="","",Categorias!C7),"")</x:f>
        <x:v>50</x:v>
      </x:c>
      <x:c r="I8" s="16" t="n">
        <x:f>IFERROR(IF(G8="","",SUMIFS(Movimientos!$G$2:$G$1000,Movimientos!$E$2:$E$1000,"Gasto",Movimientos!$F$2:$F$1000,G8,Movimientos!$C$2:$C$1000,TEXT($B$2,"yyyy-mm"))),"")</x:f>
        <x:v>0</x:v>
      </x:c>
      <x:c r="J8" s="16" t="n">
        <x:f>IFERROR(IF(G8="","",H8-I8),"")</x:f>
        <x:v>50</x:v>
      </x:c>
    </x:row>
    <x:row r="9">
      <x:c r="A9" t="str">
        <x:v>Gasto vs presupuesto</x:v>
      </x:c>
      <x:c r="B9" s="22" t="n">
        <x:f>IFERROR(IF(B8=0,"",B4/B8),"")</x:f>
        <x:v>0</x:v>
      </x:c>
      <x:c r="G9" t="str">
        <x:f>IF(Categorias!B8="","",Categorias!B8)</x:f>
        <x:v>Mecánica</x:v>
      </x:c>
      <x:c r="H9" s="16" t="n">
        <x:f>IFERROR(IF(G9="","",Categorias!C8),"")</x:f>
        <x:v>50</x:v>
      </x:c>
      <x:c r="I9" s="16" t="n">
        <x:f>IFERROR(IF(G9="","",SUMIFS(Movimientos!$G$2:$G$1000,Movimientos!$E$2:$E$1000,"Gasto",Movimientos!$F$2:$F$1000,G9,Movimientos!$C$2:$C$1000,TEXT($B$2,"yyyy-mm"))),"")</x:f>
        <x:v>0</x:v>
      </x:c>
      <x:c r="J9" s="16" t="n">
        <x:f>IFERROR(IF(G9="","",H9-I9),"")</x:f>
        <x:v>50</x:v>
      </x:c>
    </x:row>
    <x:row r="10">
      <x:c r="A10" t="str"/>
      <x:c r="B10" t="str"/>
      <x:c r="G10" t="str">
        <x:f>IF(Categorias!B9="","",Categorias!B9)</x:f>
        <x:v>Seguros</x:v>
      </x:c>
      <x:c r="H10" s="16" t="n">
        <x:f>IFERROR(IF(G10="","",Categorias!C9),"")</x:f>
        <x:v>0</x:v>
      </x:c>
      <x:c r="I10" s="16" t="n">
        <x:f>IFERROR(IF(G10="","",SUMIFS(Movimientos!$G$2:$G$1000,Movimientos!$E$2:$E$1000,"Gasto",Movimientos!$F$2:$F$1000,G10,Movimientos!$C$2:$C$1000,TEXT($B$2,"yyyy-mm"))),"")</x:f>
        <x:v>0</x:v>
      </x:c>
      <x:c r="J10" s="16" t="n">
        <x:f>IFERROR(IF(G10="","",H10-I10),"")</x:f>
        <x:v>0</x:v>
      </x:c>
    </x:row>
    <x:row r="11">
      <x:c r="A11" t="str">
        <x:v>Resumen anual</x:v>
      </x:c>
      <x:c r="B11" t="str"/>
      <x:c r="G11" t="str">
        <x:f>IF(Categorias!B10="","",Categorias!B10)</x:f>
        <x:v>Ahorro</x:v>
      </x:c>
      <x:c r="H11" s="16" t="n">
        <x:f>IFERROR(IF(G11="","",Categorias!C10),"")</x:f>
        <x:v>0</x:v>
      </x:c>
      <x:c r="I11" s="16" t="n">
        <x:f>IFERROR(IF(G11="","",SUMIFS(Movimientos!$G$2:$G$1000,Movimientos!$E$2:$E$1000,"Gasto",Movimientos!$F$2:$F$1000,G11,Movimientos!$C$2:$C$1000,TEXT($B$2,"yyyy-mm"))),"")</x:f>
        <x:v>0</x:v>
      </x:c>
      <x:c r="J11" s="16" t="n">
        <x:f>IFERROR(IF(G11="","",H11-I11),"")</x:f>
        <x:v>0</x:v>
      </x:c>
    </x:row>
    <x:row r="12">
      <x:c r="A12" s="6" t="str">
        <x:v>Mes</x:v>
      </x:c>
      <x:c r="B12" s="6" t="str">
        <x:v>Ingresos</x:v>
      </x:c>
      <x:c r="C12" s="6" t="str">
        <x:v>Gastos</x:v>
      </x:c>
      <x:c r="D12" s="6" t="str">
        <x:v>Ahorro</x:v>
      </x:c>
      <x:c r="E12" s="6" t="str">
        <x:v>Balance</x:v>
      </x:c>
      <x:c r="G12" t="str">
        <x:f>IF(Categorias!B11="","",Categorias!B11)</x:f>
        <x:v>Imprevistos</x:v>
      </x:c>
      <x:c r="H12" s="16" t="n">
        <x:f>IFERROR(IF(G12="","",Categorias!C11),"")</x:f>
        <x:v>0</x:v>
      </x:c>
      <x:c r="I12" s="16" t="n">
        <x:f>IFERROR(IF(G12="","",SUMIFS(Movimientos!$G$2:$G$1000,Movimientos!$E$2:$E$1000,"Gasto",Movimientos!$F$2:$F$1000,G12,Movimientos!$C$2:$C$1000,TEXT($B$2,"yyyy-mm"))),"")</x:f>
        <x:v>0</x:v>
      </x:c>
      <x:c r="J12" s="16" t="n">
        <x:f>IFERROR(IF(G12="","",H12-I12),"")</x:f>
        <x:v>0</x:v>
      </x:c>
    </x:row>
    <x:row r="13">
      <x:c r="A13" s="24" t="n">
        <x:f>DATE(Config!$B$4,1,1)</x:f>
        <x:v>46023</x:v>
      </x:c>
      <x:c r="B13" s="16" t="n">
        <x:f>IFERROR(SUMIFS(Movimientos!$G$2:$G$1000,Movimientos!$E$2:$E$1000,"Ingreso",Movimientos!$C$2:$C$1000,TEXT(A13,"yyyy-mm")),0)</x:f>
        <x:v>0</x:v>
      </x:c>
      <x:c r="C13" s="16" t="n">
        <x:f>IFERROR(SUMIFS(Movimientos!$G$2:$G$1000,Movimientos!$E$2:$E$1000,"Gasto",Movimientos!$C$2:$C$1000,TEXT(A13,"yyyy-mm")),0)</x:f>
        <x:v>0</x:v>
      </x:c>
      <x:c r="D13" s="16" t="n">
        <x:f>IFERROR(SUMIFS(Movimientos!$G$2:$G$1000,Movimientos!$E$2:$E$1000,"Ahorro",Movimientos!$C$2:$C$1000,TEXT(A13,"yyyy-mm")),0)</x:f>
        <x:v>0</x:v>
      </x:c>
      <x:c r="E13" s="16" t="n">
        <x:f>IFERROR(B13-C13,0)</x:f>
        <x:v>0</x:v>
      </x:c>
      <x:c r="G13" t="str">
        <x:f>IF(Categorias!B12="","",Categorias!B12)</x:f>
        <x:v>Otros</x:v>
      </x:c>
      <x:c r="H13" s="16" t="n">
        <x:f>IFERROR(IF(G13="","",Categorias!C12),"")</x:f>
        <x:v>50</x:v>
      </x:c>
      <x:c r="I13" s="16" t="n">
        <x:f>IFERROR(IF(G13="","",SUMIFS(Movimientos!$G$2:$G$1000,Movimientos!$E$2:$E$1000,"Gasto",Movimientos!$F$2:$F$1000,G13,Movimientos!$C$2:$C$1000,TEXT($B$2,"yyyy-mm"))),"")</x:f>
        <x:v>0</x:v>
      </x:c>
      <x:c r="J13" s="16" t="n">
        <x:f>IFERROR(IF(G13="","",H13-I13),"")</x:f>
        <x:v>50</x:v>
      </x:c>
    </x:row>
    <x:row r="14">
      <x:c r="A14" s="24" t="n">
        <x:f>DATE(Config!$B$4,2,1)</x:f>
        <x:v>46054</x:v>
      </x:c>
      <x:c r="B14" s="16" t="n">
        <x:f>IFERROR(SUMIFS(Movimientos!$G$2:$G$1000,Movimientos!$E$2:$E$1000,"Ingreso",Movimientos!$C$2:$C$1000,TEXT(A14,"yyyy-mm")),0)</x:f>
        <x:v>0</x:v>
      </x:c>
      <x:c r="C14" s="16" t="n">
        <x:f>IFERROR(SUMIFS(Movimientos!$G$2:$G$1000,Movimientos!$E$2:$E$1000,"Gasto",Movimientos!$C$2:$C$1000,TEXT(A14,"yyyy-mm")),0)</x:f>
        <x:v>0</x:v>
      </x:c>
      <x:c r="D14" s="16" t="n">
        <x:f>IFERROR(SUMIFS(Movimientos!$G$2:$G$1000,Movimientos!$E$2:$E$1000,"Ahorro",Movimientos!$C$2:$C$1000,TEXT(A14,"yyyy-mm")),0)</x:f>
        <x:v>0</x:v>
      </x:c>
      <x:c r="E14" s="16" t="n">
        <x:f>IFERROR(B14-C14,0)</x:f>
        <x:v>0</x:v>
      </x:c>
      <x:c r="G14" t="str">
        <x:f>IF(Categorias!B13="","",Categorias!B13)</x:f>
      </x:c>
      <x:c r="H14" s="16" t="str">
        <x:f>IFERROR(IF(G14="","",Categorias!C13),"")</x:f>
      </x:c>
      <x:c r="I14" s="16" t="str">
        <x:f>IFERROR(IF(G14="","",SUMIFS(Movimientos!$G$2:$G$1000,Movimientos!$E$2:$E$1000,"Gasto",Movimientos!$F$2:$F$1000,G14,Movimientos!$C$2:$C$1000,TEXT($B$2,"yyyy-mm"))),"")</x:f>
      </x:c>
      <x:c r="J14" s="16" t="str">
        <x:f>IFERROR(IF(G14="","",H14-I14),"")</x:f>
      </x:c>
    </x:row>
    <x:row r="15">
      <x:c r="A15" s="24" t="n">
        <x:f>DATE(Config!$B$4,3,1)</x:f>
        <x:v>46082</x:v>
      </x:c>
      <x:c r="B15" s="16" t="n">
        <x:f>IFERROR(SUMIFS(Movimientos!$G$2:$G$1000,Movimientos!$E$2:$E$1000,"Ingreso",Movimientos!$C$2:$C$1000,TEXT(A15,"yyyy-mm")),0)</x:f>
        <x:v>0</x:v>
      </x:c>
      <x:c r="C15" s="16" t="n">
        <x:f>IFERROR(SUMIFS(Movimientos!$G$2:$G$1000,Movimientos!$E$2:$E$1000,"Gasto",Movimientos!$C$2:$C$1000,TEXT(A15,"yyyy-mm")),0)</x:f>
        <x:v>0</x:v>
      </x:c>
      <x:c r="D15" s="16" t="n">
        <x:f>IFERROR(SUMIFS(Movimientos!$G$2:$G$1000,Movimientos!$E$2:$E$1000,"Ahorro",Movimientos!$C$2:$C$1000,TEXT(A15,"yyyy-mm")),0)</x:f>
        <x:v>0</x:v>
      </x:c>
      <x:c r="E15" s="16" t="n">
        <x:f>IFERROR(B15-C15,0)</x:f>
        <x:v>0</x:v>
      </x:c>
      <x:c r="G15" t="str">
        <x:f>IF(Categorias!B14="","",Categorias!B14)</x:f>
      </x:c>
      <x:c r="H15" s="16" t="str">
        <x:f>IFERROR(IF(G15="","",Categorias!C14),"")</x:f>
      </x:c>
      <x:c r="I15" s="16" t="str">
        <x:f>IFERROR(IF(G15="","",SUMIFS(Movimientos!$G$2:$G$1000,Movimientos!$E$2:$E$1000,"Gasto",Movimientos!$F$2:$F$1000,G15,Movimientos!$C$2:$C$1000,TEXT($B$2,"yyyy-mm"))),"")</x:f>
      </x:c>
      <x:c r="J15" s="16" t="str">
        <x:f>IFERROR(IF(G15="","",H15-I15),"")</x:f>
      </x:c>
    </x:row>
    <x:row r="16">
      <x:c r="A16" s="24" t="n">
        <x:f>DATE(Config!$B$4,4,1)</x:f>
        <x:v>46113</x:v>
      </x:c>
      <x:c r="B16" s="16" t="n">
        <x:f>IFERROR(SUMIFS(Movimientos!$G$2:$G$1000,Movimientos!$E$2:$E$1000,"Ingreso",Movimientos!$C$2:$C$1000,TEXT(A16,"yyyy-mm")),0)</x:f>
        <x:v>0</x:v>
      </x:c>
      <x:c r="C16" s="16" t="n">
        <x:f>IFERROR(SUMIFS(Movimientos!$G$2:$G$1000,Movimientos!$E$2:$E$1000,"Gasto",Movimientos!$C$2:$C$1000,TEXT(A16,"yyyy-mm")),0)</x:f>
        <x:v>0</x:v>
      </x:c>
      <x:c r="D16" s="16" t="n">
        <x:f>IFERROR(SUMIFS(Movimientos!$G$2:$G$1000,Movimientos!$E$2:$E$1000,"Ahorro",Movimientos!$C$2:$C$1000,TEXT(A16,"yyyy-mm")),0)</x:f>
        <x:v>0</x:v>
      </x:c>
      <x:c r="E16" s="16" t="n">
        <x:f>IFERROR(B16-C16,0)</x:f>
        <x:v>0</x:v>
      </x:c>
      <x:c r="G16" t="str">
        <x:f>IF(Categorias!B15="","",Categorias!B15)</x:f>
      </x:c>
      <x:c r="H16" s="16" t="str">
        <x:f>IFERROR(IF(G16="","",Categorias!C15),"")</x:f>
      </x:c>
      <x:c r="I16" s="16" t="str">
        <x:f>IFERROR(IF(G16="","",SUMIFS(Movimientos!$G$2:$G$1000,Movimientos!$E$2:$E$1000,"Gasto",Movimientos!$F$2:$F$1000,G16,Movimientos!$C$2:$C$1000,TEXT($B$2,"yyyy-mm"))),"")</x:f>
      </x:c>
      <x:c r="J16" s="16" t="str">
        <x:f>IFERROR(IF(G16="","",H16-I16),"")</x:f>
      </x:c>
    </x:row>
    <x:row r="17">
      <x:c r="A17" s="24" t="n">
        <x:f>DATE(Config!$B$4,5,1)</x:f>
        <x:v>46143</x:v>
      </x:c>
      <x:c r="B17" s="16" t="n">
        <x:f>IFERROR(SUMIFS(Movimientos!$G$2:$G$1000,Movimientos!$E$2:$E$1000,"Ingreso",Movimientos!$C$2:$C$1000,TEXT(A17,"yyyy-mm")),0)</x:f>
        <x:v>0</x:v>
      </x:c>
      <x:c r="C17" s="16" t="n">
        <x:f>IFERROR(SUMIFS(Movimientos!$G$2:$G$1000,Movimientos!$E$2:$E$1000,"Gasto",Movimientos!$C$2:$C$1000,TEXT(A17,"yyyy-mm")),0)</x:f>
        <x:v>0</x:v>
      </x:c>
      <x:c r="D17" s="16" t="n">
        <x:f>IFERROR(SUMIFS(Movimientos!$G$2:$G$1000,Movimientos!$E$2:$E$1000,"Ahorro",Movimientos!$C$2:$C$1000,TEXT(A17,"yyyy-mm")),0)</x:f>
        <x:v>0</x:v>
      </x:c>
      <x:c r="E17" s="16" t="n">
        <x:f>IFERROR(B17-C17,0)</x:f>
        <x:v>0</x:v>
      </x:c>
      <x:c r="G17" t="str">
        <x:f>IF(Categorias!B16="","",Categorias!B16)</x:f>
      </x:c>
      <x:c r="H17" s="16" t="str">
        <x:f>IFERROR(IF(G17="","",Categorias!C16),"")</x:f>
      </x:c>
      <x:c r="I17" s="16" t="str">
        <x:f>IFERROR(IF(G17="","",SUMIFS(Movimientos!$G$2:$G$1000,Movimientos!$E$2:$E$1000,"Gasto",Movimientos!$F$2:$F$1000,G17,Movimientos!$C$2:$C$1000,TEXT($B$2,"yyyy-mm"))),"")</x:f>
      </x:c>
      <x:c r="J17" s="16" t="str">
        <x:f>IFERROR(IF(G17="","",H17-I17),"")</x:f>
      </x:c>
    </x:row>
    <x:row r="18">
      <x:c r="A18" s="24" t="n">
        <x:f>DATE(Config!$B$4,6,1)</x:f>
        <x:v>46174</x:v>
      </x:c>
      <x:c r="B18" s="16" t="n">
        <x:f>IFERROR(SUMIFS(Movimientos!$G$2:$G$1000,Movimientos!$E$2:$E$1000,"Ingreso",Movimientos!$C$2:$C$1000,TEXT(A18,"yyyy-mm")),0)</x:f>
        <x:v>0</x:v>
      </x:c>
      <x:c r="C18" s="16" t="n">
        <x:f>IFERROR(SUMIFS(Movimientos!$G$2:$G$1000,Movimientos!$E$2:$E$1000,"Gasto",Movimientos!$C$2:$C$1000,TEXT(A18,"yyyy-mm")),0)</x:f>
        <x:v>0</x:v>
      </x:c>
      <x:c r="D18" s="16" t="n">
        <x:f>IFERROR(SUMIFS(Movimientos!$G$2:$G$1000,Movimientos!$E$2:$E$1000,"Ahorro",Movimientos!$C$2:$C$1000,TEXT(A18,"yyyy-mm")),0)</x:f>
        <x:v>0</x:v>
      </x:c>
      <x:c r="E18" s="16" t="n">
        <x:f>IFERROR(B18-C18,0)</x:f>
        <x:v>0</x:v>
      </x:c>
      <x:c r="G18" t="str">
        <x:f>IF(Categorias!B17="","",Categorias!B17)</x:f>
      </x:c>
      <x:c r="H18" s="16" t="str">
        <x:f>IFERROR(IF(G18="","",Categorias!C17),"")</x:f>
      </x:c>
      <x:c r="I18" s="16" t="str">
        <x:f>IFERROR(IF(G18="","",SUMIFS(Movimientos!$G$2:$G$1000,Movimientos!$E$2:$E$1000,"Gasto",Movimientos!$F$2:$F$1000,G18,Movimientos!$C$2:$C$1000,TEXT($B$2,"yyyy-mm"))),"")</x:f>
      </x:c>
      <x:c r="J18" s="16" t="str">
        <x:f>IFERROR(IF(G18="","",H18-I18),"")</x:f>
      </x:c>
    </x:row>
    <x:row r="19">
      <x:c r="A19" s="24" t="n">
        <x:f>DATE(Config!$B$4,7,1)</x:f>
        <x:v>46204</x:v>
      </x:c>
      <x:c r="B19" s="16" t="n">
        <x:f>IFERROR(SUMIFS(Movimientos!$G$2:$G$1000,Movimientos!$E$2:$E$1000,"Ingreso",Movimientos!$C$2:$C$1000,TEXT(A19,"yyyy-mm")),0)</x:f>
        <x:v>0</x:v>
      </x:c>
      <x:c r="C19" s="16" t="n">
        <x:f>IFERROR(SUMIFS(Movimientos!$G$2:$G$1000,Movimientos!$E$2:$E$1000,"Gasto",Movimientos!$C$2:$C$1000,TEXT(A19,"yyyy-mm")),0)</x:f>
        <x:v>0</x:v>
      </x:c>
      <x:c r="D19" s="16" t="n">
        <x:f>IFERROR(SUMIFS(Movimientos!$G$2:$G$1000,Movimientos!$E$2:$E$1000,"Ahorro",Movimientos!$C$2:$C$1000,TEXT(A19,"yyyy-mm")),0)</x:f>
        <x:v>0</x:v>
      </x:c>
      <x:c r="E19" s="16" t="n">
        <x:f>IFERROR(B19-C19,0)</x:f>
        <x:v>0</x:v>
      </x:c>
      <x:c r="G19" t="str">
        <x:f>IF(Categorias!B18="","",Categorias!B18)</x:f>
      </x:c>
      <x:c r="H19" s="16" t="str">
        <x:f>IFERROR(IF(G19="","",Categorias!C18),"")</x:f>
      </x:c>
      <x:c r="I19" s="16" t="str">
        <x:f>IFERROR(IF(G19="","",SUMIFS(Movimientos!$G$2:$G$1000,Movimientos!$E$2:$E$1000,"Gasto",Movimientos!$F$2:$F$1000,G19,Movimientos!$C$2:$C$1000,TEXT($B$2,"yyyy-mm"))),"")</x:f>
      </x:c>
      <x:c r="J19" s="16" t="str">
        <x:f>IFERROR(IF(G19="","",H19-I19),"")</x:f>
      </x:c>
    </x:row>
    <x:row r="20">
      <x:c r="A20" s="24" t="n">
        <x:f>DATE(Config!$B$4,8,1)</x:f>
        <x:v>46235</x:v>
      </x:c>
      <x:c r="B20" s="16" t="n">
        <x:f>IFERROR(SUMIFS(Movimientos!$G$2:$G$1000,Movimientos!$E$2:$E$1000,"Ingreso",Movimientos!$C$2:$C$1000,TEXT(A20,"yyyy-mm")),0)</x:f>
        <x:v>0</x:v>
      </x:c>
      <x:c r="C20" s="16" t="n">
        <x:f>IFERROR(SUMIFS(Movimientos!$G$2:$G$1000,Movimientos!$E$2:$E$1000,"Gasto",Movimientos!$C$2:$C$1000,TEXT(A20,"yyyy-mm")),0)</x:f>
        <x:v>0</x:v>
      </x:c>
      <x:c r="D20" s="16" t="n">
        <x:f>IFERROR(SUMIFS(Movimientos!$G$2:$G$1000,Movimientos!$E$2:$E$1000,"Ahorro",Movimientos!$C$2:$C$1000,TEXT(A20,"yyyy-mm")),0)</x:f>
        <x:v>0</x:v>
      </x:c>
      <x:c r="E20" s="16" t="n">
        <x:f>IFERROR(B20-C20,0)</x:f>
        <x:v>0</x:v>
      </x:c>
      <x:c r="G20" t="str">
        <x:f>IF(Categorias!B19="","",Categorias!B19)</x:f>
      </x:c>
      <x:c r="H20" s="16" t="str">
        <x:f>IFERROR(IF(G20="","",Categorias!C19),"")</x:f>
      </x:c>
      <x:c r="I20" s="16" t="str">
        <x:f>IFERROR(IF(G20="","",SUMIFS(Movimientos!$G$2:$G$1000,Movimientos!$E$2:$E$1000,"Gasto",Movimientos!$F$2:$F$1000,G20,Movimientos!$C$2:$C$1000,TEXT($B$2,"yyyy-mm"))),"")</x:f>
      </x:c>
      <x:c r="J20" s="16" t="str">
        <x:f>IFERROR(IF(G20="","",H20-I20),"")</x:f>
      </x:c>
    </x:row>
    <x:row r="21">
      <x:c r="A21" s="24" t="n">
        <x:f>DATE(Config!$B$4,9,1)</x:f>
        <x:v>46266</x:v>
      </x:c>
      <x:c r="B21" s="16" t="n">
        <x:f>IFERROR(SUMIFS(Movimientos!$G$2:$G$1000,Movimientos!$E$2:$E$1000,"Ingreso",Movimientos!$C$2:$C$1000,TEXT(A21,"yyyy-mm")),0)</x:f>
        <x:v>0</x:v>
      </x:c>
      <x:c r="C21" s="16" t="n">
        <x:f>IFERROR(SUMIFS(Movimientos!$G$2:$G$1000,Movimientos!$E$2:$E$1000,"Gasto",Movimientos!$C$2:$C$1000,TEXT(A21,"yyyy-mm")),0)</x:f>
        <x:v>0</x:v>
      </x:c>
      <x:c r="D21" s="16" t="n">
        <x:f>IFERROR(SUMIFS(Movimientos!$G$2:$G$1000,Movimientos!$E$2:$E$1000,"Ahorro",Movimientos!$C$2:$C$1000,TEXT(A21,"yyyy-mm")),0)</x:f>
        <x:v>0</x:v>
      </x:c>
      <x:c r="E21" s="16" t="n">
        <x:f>IFERROR(B21-C21,0)</x:f>
        <x:v>0</x:v>
      </x:c>
      <x:c r="G21" t="str">
        <x:f>IF(Categorias!B20="","",Categorias!B20)</x:f>
      </x:c>
      <x:c r="H21" s="16" t="str">
        <x:f>IFERROR(IF(G21="","",Categorias!C20),"")</x:f>
      </x:c>
      <x:c r="I21" s="16" t="str">
        <x:f>IFERROR(IF(G21="","",SUMIFS(Movimientos!$G$2:$G$1000,Movimientos!$E$2:$E$1000,"Gasto",Movimientos!$F$2:$F$1000,G21,Movimientos!$C$2:$C$1000,TEXT($B$2,"yyyy-mm"))),"")</x:f>
      </x:c>
      <x:c r="J21" s="16" t="str">
        <x:f>IFERROR(IF(G21="","",H21-I21),"")</x:f>
      </x:c>
    </x:row>
    <x:row r="22">
      <x:c r="A22" s="24" t="n">
        <x:f>DATE(Config!$B$4,10,1)</x:f>
        <x:v>46296</x:v>
      </x:c>
      <x:c r="B22" s="16" t="n">
        <x:f>IFERROR(SUMIFS(Movimientos!$G$2:$G$1000,Movimientos!$E$2:$E$1000,"Ingreso",Movimientos!$C$2:$C$1000,TEXT(A22,"yyyy-mm")),0)</x:f>
        <x:v>0</x:v>
      </x:c>
      <x:c r="C22" s="16" t="n">
        <x:f>IFERROR(SUMIFS(Movimientos!$G$2:$G$1000,Movimientos!$E$2:$E$1000,"Gasto",Movimientos!$C$2:$C$1000,TEXT(A22,"yyyy-mm")),0)</x:f>
        <x:v>0</x:v>
      </x:c>
      <x:c r="D22" s="16" t="n">
        <x:f>IFERROR(SUMIFS(Movimientos!$G$2:$G$1000,Movimientos!$E$2:$E$1000,"Ahorro",Movimientos!$C$2:$C$1000,TEXT(A22,"yyyy-mm")),0)</x:f>
        <x:v>0</x:v>
      </x:c>
      <x:c r="E22" s="16" t="n">
        <x:f>IFERROR(B22-C22,0)</x:f>
        <x:v>0</x:v>
      </x:c>
      <x:c r="G22" t="str">
        <x:f>IF(Categorias!B21="","",Categorias!B21)</x:f>
      </x:c>
      <x:c r="H22" s="16" t="str">
        <x:f>IFERROR(IF(G22="","",Categorias!C21),"")</x:f>
      </x:c>
      <x:c r="I22" s="16" t="str">
        <x:f>IFERROR(IF(G22="","",SUMIFS(Movimientos!$G$2:$G$1000,Movimientos!$E$2:$E$1000,"Gasto",Movimientos!$F$2:$F$1000,G22,Movimientos!$C$2:$C$1000,TEXT($B$2,"yyyy-mm"))),"")</x:f>
      </x:c>
      <x:c r="J22" s="16" t="str">
        <x:f>IFERROR(IF(G22="","",H22-I22),"")</x:f>
      </x:c>
    </x:row>
    <x:row r="23">
      <x:c r="A23" s="24" t="n">
        <x:f>DATE(Config!$B$4,11,1)</x:f>
        <x:v>46327</x:v>
      </x:c>
      <x:c r="B23" s="16" t="n">
        <x:f>IFERROR(SUMIFS(Movimientos!$G$2:$G$1000,Movimientos!$E$2:$E$1000,"Ingreso",Movimientos!$C$2:$C$1000,TEXT(A23,"yyyy-mm")),0)</x:f>
        <x:v>0</x:v>
      </x:c>
      <x:c r="C23" s="16" t="n">
        <x:f>IFERROR(SUMIFS(Movimientos!$G$2:$G$1000,Movimientos!$E$2:$E$1000,"Gasto",Movimientos!$C$2:$C$1000,TEXT(A23,"yyyy-mm")),0)</x:f>
        <x:v>0</x:v>
      </x:c>
      <x:c r="D23" s="16" t="n">
        <x:f>IFERROR(SUMIFS(Movimientos!$G$2:$G$1000,Movimientos!$E$2:$E$1000,"Ahorro",Movimientos!$C$2:$C$1000,TEXT(A23,"yyyy-mm")),0)</x:f>
        <x:v>0</x:v>
      </x:c>
      <x:c r="E23" s="16" t="n">
        <x:f>IFERROR(B23-C23,0)</x:f>
        <x:v>0</x:v>
      </x:c>
    </x:row>
    <x:row r="24">
      <x:c r="A24" s="24" t="n">
        <x:f>DATE(Config!$B$4,12,1)</x:f>
        <x:v>46357</x:v>
      </x:c>
      <x:c r="B24" s="16" t="n">
        <x:f>IFERROR(SUMIFS(Movimientos!$G$2:$G$1000,Movimientos!$E$2:$E$1000,"Ingreso",Movimientos!$C$2:$C$1000,TEXT(A24,"yyyy-mm")),0)</x:f>
        <x:v>0</x:v>
      </x:c>
      <x:c r="C24" s="16" t="n">
        <x:f>IFERROR(SUMIFS(Movimientos!$G$2:$G$1000,Movimientos!$E$2:$E$1000,"Gasto",Movimientos!$C$2:$C$1000,TEXT(A24,"yyyy-mm")),0)</x:f>
        <x:v>0</x:v>
      </x:c>
      <x:c r="D24" s="16" t="n">
        <x:f>IFERROR(SUMIFS(Movimientos!$G$2:$G$1000,Movimientos!$E$2:$E$1000,"Ahorro",Movimientos!$C$2:$C$1000,TEXT(A24,"yyyy-mm")),0)</x:f>
        <x:v>0</x:v>
      </x:c>
      <x:c r="E24" s="16" t="n">
        <x:f>IFERROR(B24-C24,0)</x:f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2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" t="str">
        <x:v>VISTA MES / ALTA RÁPIDA DE MOVIMIENTO</x:v>
      </x:c>
      <x:c r="B1" s="6" t="str"/>
      <x:c r="D1" s="6" t="str">
        <x:v>Resumen del mes activo</x:v>
      </x:c>
      <x:c r="E1" s="6" t="str"/>
      <x:c r="F1" s="6" t="str"/>
      <x:c r="G1" s="6" t="str"/>
      <x:c r="H1" s="6" t="str"/>
    </x:row>
    <x:row r="2">
      <x:c r="A2" t="str">
        <x:v>Mes activo</x:v>
      </x:c>
      <x:c r="B2" s="20" t="n">
        <x:f>Config!B6</x:f>
        <x:v>46023</x:v>
      </x:c>
    </x:row>
    <x:row r="3">
      <x:c r="A3" s="6" t="str">
        <x:v>Campo</x:v>
      </x:c>
      <x:c r="B3" s="6" t="str">
        <x:v>Valor</x:v>
      </x:c>
      <x:c r="D3" s="6" t="str">
        <x:v>Fecha</x:v>
      </x:c>
      <x:c r="E3" s="6" t="str">
        <x:v>Concepto</x:v>
      </x:c>
      <x:c r="F3" s="6" t="str">
        <x:v>Tipo</x:v>
      </x:c>
      <x:c r="G3" s="6" t="str">
        <x:v>Categoría</x:v>
      </x:c>
      <x:c r="H3" s="6" t="str">
        <x:v>Importe</x:v>
      </x:c>
    </x:row>
    <x:row r="4">
      <x:c r="A4" t="str">
        <x:v>Día</x:v>
      </x:c>
      <x:c r="B4" t="str"/>
      <x:c r="D4" s="12" t="str">
        <x:v>La app o Apps Script pueden rellenar aquí movimientos filtrados del mes activo.</x:v>
      </x:c>
      <x:c r="E4" s="12" t="str"/>
      <x:c r="F4" s="12" t="str"/>
      <x:c r="G4" s="12" t="str"/>
      <x:c r="H4" s="12" t="str"/>
    </x:row>
    <x:row r="5">
      <x:c r="A5" t="str">
        <x:v>Concepto</x:v>
      </x:c>
      <x:c r="B5" t="str"/>
    </x:row>
    <x:row r="6">
      <x:c r="A6" t="str">
        <x:v>Tipo</x:v>
      </x:c>
      <x:c r="B6" t="str"/>
    </x:row>
    <x:row r="7">
      <x:c r="A7" t="str">
        <x:v>Categoría</x:v>
      </x:c>
      <x:c r="B7" t="str"/>
    </x:row>
    <x:row r="8">
      <x:c r="A8" t="str">
        <x:v>Importe</x:v>
      </x:c>
      <x:c r="B8" s="16" t="str"/>
    </x:row>
    <x:row r="9">
      <x:c r="A9" t="str">
        <x:v>Método</x:v>
      </x:c>
      <x:c r="B9" t="str"/>
    </x:row>
    <x:row r="10">
      <x:c r="A10" t="str">
        <x:v>Cuenta origen</x:v>
      </x:c>
      <x:c r="B10" t="str"/>
    </x:row>
    <x:row r="11">
      <x:c r="A11" t="str">
        <x:v>Cuenta destino</x:v>
      </x:c>
      <x:c r="B11" t="str"/>
    </x:row>
    <x:row r="12">
      <x:c r="A12" t="str">
        <x:v>Notas</x:v>
      </x:c>
      <x:c r="B12" t="str"/>
    </x:row>
    <x:row r="13">
      <x:c r="A13" t="str"/>
      <x:c r="B13" t="str"/>
    </x:row>
    <x:row r="14">
      <x:c r="A14" t="str">
        <x:v>Para guardar desde Apps Script, escribe GUARDAR en la celda B15.</x:v>
      </x:c>
      <x:c r="B14" t="str"/>
    </x:row>
    <x:row r="15">
      <x:c r="A15" t="str">
        <x:v>Acción</x:v>
      </x:c>
      <x:c r="B15" t="str"/>
    </x:row>
  </x:sheetData>
  <x:dataValidations count="2">
    <x:dataValidation type="list" sqref="B6">
      <x:formula1>"Ingreso,Gasto,Ahorro,Transferencia interna"</x:formula1>
    </x:dataValidation>
    <x:dataValidation type="list" sqref="B9">
      <x:formula1>"Tarjeta,Transferencia,Efectivo,Bizum,Domiciliación,PayPal,Otro"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34" hidden="0" customWidth="1"/>
    <x:col min="5" max="5" width="18" hidden="0" customWidth="1"/>
    <x:col min="6" max="6" width="22" hidden="0" customWidth="1"/>
    <x:col min="7" max="7" width="14" hidden="0" customWidth="1"/>
    <x:col min="8" max="8" width="16" hidden="0" customWidth="1"/>
    <x:col min="9" max="9" width="20" hidden="0" customWidth="1"/>
    <x:col min="10" max="10" width="20" hidden="0" customWidth="1"/>
    <x:col min="11" max="11" width="45" hidden="0" customWidth="1"/>
    <x:col min="12" max="12" width="22" hidden="0" customWidth="1"/>
    <x:col min="13" max="13" width="20" hidden="0" customWidth="1"/>
    <x:col min="14" max="14" width="20" hidden="0" customWidth="1"/>
  </x:cols>
  <x:sheetData>
    <x:row r="1">
      <x:c r="A1" s="6" t="str">
        <x:v>id</x:v>
      </x:c>
      <x:c r="B1" s="6" t="str">
        <x:v>fecha</x:v>
      </x:c>
      <x:c r="C1" s="6" t="str">
        <x:v>mesClave</x:v>
      </x:c>
      <x:c r="D1" s="6" t="str">
        <x:v>concepto</x:v>
      </x:c>
      <x:c r="E1" s="6" t="str">
        <x:v>tipo</x:v>
      </x:c>
      <x:c r="F1" s="6" t="str">
        <x:v>categoria</x:v>
      </x:c>
      <x:c r="G1" s="6" t="str">
        <x:v>importe</x:v>
      </x:c>
      <x:c r="H1" s="6" t="str">
        <x:v>metodo</x:v>
      </x:c>
      <x:c r="I1" s="6" t="str">
        <x:v>cuentaOrigen</x:v>
      </x:c>
      <x:c r="J1" s="6" t="str">
        <x:v>cuentaDestino</x:v>
      </x:c>
      <x:c r="K1" s="6" t="str">
        <x:v>notas</x:v>
      </x:c>
      <x:c r="L1" s="6" t="str">
        <x:v>reservaId</x:v>
      </x:c>
      <x:c r="M1" s="6" t="str">
        <x:v>createdAt</x:v>
      </x:c>
      <x:c r="N1" s="6" t="str">
        <x:v>updatedAt</x:v>
      </x:c>
    </x:row>
    <x:row r="2">
      <x:c r="B2" s="14"/>
      <x:c r="C2" t="str">
        <x:f>IF(B2="","",TEXT(B2,"yyyy-mm"))</x:f>
      </x:c>
      <x:c r="G2" s="16"/>
    </x:row>
    <x:row r="3">
      <x:c r="B3" s="14"/>
      <x:c r="C3" t="str">
        <x:f>IF(B3="","",TEXT(B3,"yyyy-mm"))</x:f>
      </x:c>
      <x:c r="G3" s="16"/>
    </x:row>
    <x:row r="4">
      <x:c r="B4" s="14"/>
      <x:c r="C4" t="str">
        <x:f>IF(B4="","",TEXT(B4,"yyyy-mm"))</x:f>
      </x:c>
      <x:c r="G4" s="16"/>
    </x:row>
    <x:row r="5">
      <x:c r="B5" s="14"/>
      <x:c r="C5" t="str">
        <x:f>IF(B5="","",TEXT(B5,"yyyy-mm"))</x:f>
      </x:c>
      <x:c r="G5" s="16"/>
    </x:row>
    <x:row r="6">
      <x:c r="B6" s="14"/>
      <x:c r="C6" t="str">
        <x:f>IF(B6="","",TEXT(B6,"yyyy-mm"))</x:f>
      </x:c>
      <x:c r="G6" s="16"/>
    </x:row>
    <x:row r="7">
      <x:c r="B7" s="14"/>
      <x:c r="C7" t="str">
        <x:f>IF(B7="","",TEXT(B7,"yyyy-mm"))</x:f>
      </x:c>
      <x:c r="G7" s="16"/>
    </x:row>
    <x:row r="8">
      <x:c r="B8" s="14"/>
      <x:c r="C8" t="str">
        <x:f>IF(B8="","",TEXT(B8,"yyyy-mm"))</x:f>
      </x:c>
      <x:c r="G8" s="16"/>
    </x:row>
    <x:row r="9">
      <x:c r="B9" s="14"/>
      <x:c r="C9" t="str">
        <x:f>IF(B9="","",TEXT(B9,"yyyy-mm"))</x:f>
      </x:c>
      <x:c r="G9" s="16"/>
    </x:row>
    <x:row r="10">
      <x:c r="B10" s="14"/>
      <x:c r="C10" t="str">
        <x:f>IF(B10="","",TEXT(B10,"yyyy-mm"))</x:f>
      </x:c>
      <x:c r="G10" s="16"/>
    </x:row>
    <x:row r="11">
      <x:c r="B11" s="14"/>
      <x:c r="C11" t="str">
        <x:f>IF(B11="","",TEXT(B11,"yyyy-mm"))</x:f>
      </x:c>
      <x:c r="G11" s="16"/>
    </x:row>
    <x:row r="12">
      <x:c r="B12" s="14"/>
      <x:c r="C12" t="str">
        <x:f>IF(B12="","",TEXT(B12,"yyyy-mm"))</x:f>
      </x:c>
      <x:c r="G12" s="16"/>
    </x:row>
    <x:row r="13">
      <x:c r="B13" s="14"/>
      <x:c r="C13" t="str">
        <x:f>IF(B13="","",TEXT(B13,"yyyy-mm"))</x:f>
      </x:c>
      <x:c r="G13" s="16"/>
    </x:row>
    <x:row r="14">
      <x:c r="B14" s="14"/>
      <x:c r="C14" t="str">
        <x:f>IF(B14="","",TEXT(B14,"yyyy-mm"))</x:f>
      </x:c>
      <x:c r="G14" s="16"/>
    </x:row>
    <x:row r="15">
      <x:c r="B15" s="14"/>
      <x:c r="C15" t="str">
        <x:f>IF(B15="","",TEXT(B15,"yyyy-mm"))</x:f>
      </x:c>
      <x:c r="G15" s="16"/>
    </x:row>
    <x:row r="16">
      <x:c r="B16" s="14"/>
      <x:c r="C16" t="str">
        <x:f>IF(B16="","",TEXT(B16,"yyyy-mm"))</x:f>
      </x:c>
      <x:c r="G16" s="16"/>
    </x:row>
    <x:row r="17">
      <x:c r="B17" s="14"/>
      <x:c r="C17" t="str">
        <x:f>IF(B17="","",TEXT(B17,"yyyy-mm"))</x:f>
      </x:c>
      <x:c r="G17" s="16"/>
    </x:row>
    <x:row r="18">
      <x:c r="B18" s="14"/>
      <x:c r="C18" t="str">
        <x:f>IF(B18="","",TEXT(B18,"yyyy-mm"))</x:f>
      </x:c>
      <x:c r="G18" s="16"/>
    </x:row>
    <x:row r="19">
      <x:c r="B19" s="14"/>
      <x:c r="C19" t="str">
        <x:f>IF(B19="","",TEXT(B19,"yyyy-mm"))</x:f>
      </x:c>
      <x:c r="G19" s="16"/>
    </x:row>
    <x:row r="20">
      <x:c r="B20" s="14"/>
      <x:c r="C20" t="str">
        <x:f>IF(B20="","",TEXT(B20,"yyyy-mm"))</x:f>
      </x:c>
      <x:c r="G20" s="16"/>
    </x:row>
    <x:row r="21">
      <x:c r="B21" s="14"/>
      <x:c r="C21" t="str">
        <x:f>IF(B21="","",TEXT(B21,"yyyy-mm"))</x:f>
      </x:c>
      <x:c r="G21" s="16"/>
    </x:row>
    <x:row r="22">
      <x:c r="B22" s="14"/>
      <x:c r="C22" t="str">
        <x:f>IF(B22="","",TEXT(B22,"yyyy-mm"))</x:f>
      </x:c>
      <x:c r="G22" s="16"/>
    </x:row>
    <x:row r="23">
      <x:c r="B23" s="14"/>
      <x:c r="C23" t="str">
        <x:f>IF(B23="","",TEXT(B23,"yyyy-mm"))</x:f>
      </x:c>
      <x:c r="G23" s="16"/>
    </x:row>
    <x:row r="24">
      <x:c r="B24" s="14"/>
      <x:c r="C24" t="str">
        <x:f>IF(B24="","",TEXT(B24,"yyyy-mm"))</x:f>
      </x:c>
      <x:c r="G24" s="16"/>
    </x:row>
    <x:row r="25">
      <x:c r="B25" s="14"/>
      <x:c r="C25" t="str">
        <x:f>IF(B25="","",TEXT(B25,"yyyy-mm"))</x:f>
      </x:c>
      <x:c r="G25" s="16"/>
    </x:row>
    <x:row r="26">
      <x:c r="B26" s="14"/>
      <x:c r="C26" t="str">
        <x:f>IF(B26="","",TEXT(B26,"yyyy-mm"))</x:f>
      </x:c>
      <x:c r="G26" s="16"/>
    </x:row>
    <x:row r="27">
      <x:c r="B27" s="14"/>
      <x:c r="C27" t="str">
        <x:f>IF(B27="","",TEXT(B27,"yyyy-mm"))</x:f>
      </x:c>
      <x:c r="G27" s="16"/>
    </x:row>
    <x:row r="28">
      <x:c r="B28" s="14"/>
      <x:c r="C28" t="str">
        <x:f>IF(B28="","",TEXT(B28,"yyyy-mm"))</x:f>
      </x:c>
      <x:c r="G28" s="16"/>
    </x:row>
    <x:row r="29">
      <x:c r="B29" s="14"/>
      <x:c r="C29" t="str">
        <x:f>IF(B29="","",TEXT(B29,"yyyy-mm"))</x:f>
      </x:c>
      <x:c r="G29" s="16"/>
    </x:row>
    <x:row r="30">
      <x:c r="B30" s="14"/>
      <x:c r="C30" t="str">
        <x:f>IF(B30="","",TEXT(B30,"yyyy-mm"))</x:f>
      </x:c>
      <x:c r="G30" s="16"/>
    </x:row>
    <x:row r="31">
      <x:c r="B31" s="14"/>
      <x:c r="C31" t="str">
        <x:f>IF(B31="","",TEXT(B31,"yyyy-mm"))</x:f>
      </x:c>
      <x:c r="G31" s="16"/>
    </x:row>
    <x:row r="32">
      <x:c r="B32" s="14"/>
      <x:c r="C32" t="str">
        <x:f>IF(B32="","",TEXT(B32,"yyyy-mm"))</x:f>
      </x:c>
      <x:c r="G32" s="16"/>
    </x:row>
    <x:row r="33">
      <x:c r="B33" s="14"/>
      <x:c r="C33" t="str">
        <x:f>IF(B33="","",TEXT(B33,"yyyy-mm"))</x:f>
      </x:c>
      <x:c r="G33" s="16"/>
    </x:row>
    <x:row r="34">
      <x:c r="B34" s="14"/>
      <x:c r="C34" t="str">
        <x:f>IF(B34="","",TEXT(B34,"yyyy-mm"))</x:f>
      </x:c>
      <x:c r="G34" s="16"/>
    </x:row>
    <x:row r="35">
      <x:c r="B35" s="14"/>
      <x:c r="C35" t="str">
        <x:f>IF(B35="","",TEXT(B35,"yyyy-mm"))</x:f>
      </x:c>
      <x:c r="G35" s="16"/>
    </x:row>
    <x:row r="36">
      <x:c r="B36" s="14"/>
      <x:c r="C36" t="str">
        <x:f>IF(B36="","",TEXT(B36,"yyyy-mm"))</x:f>
      </x:c>
      <x:c r="G36" s="16"/>
    </x:row>
    <x:row r="37">
      <x:c r="B37" s="14"/>
      <x:c r="C37" t="str">
        <x:f>IF(B37="","",TEXT(B37,"yyyy-mm"))</x:f>
      </x:c>
      <x:c r="G37" s="16"/>
    </x:row>
    <x:row r="38">
      <x:c r="B38" s="14"/>
      <x:c r="C38" t="str">
        <x:f>IF(B38="","",TEXT(B38,"yyyy-mm"))</x:f>
      </x:c>
      <x:c r="G38" s="16"/>
    </x:row>
    <x:row r="39">
      <x:c r="B39" s="14"/>
      <x:c r="C39" t="str">
        <x:f>IF(B39="","",TEXT(B39,"yyyy-mm"))</x:f>
      </x:c>
      <x:c r="G39" s="16"/>
    </x:row>
    <x:row r="40">
      <x:c r="B40" s="14"/>
      <x:c r="C40" t="str">
        <x:f>IF(B40="","",TEXT(B40,"yyyy-mm"))</x:f>
      </x:c>
      <x:c r="G40" s="16"/>
    </x:row>
    <x:row r="41">
      <x:c r="B41" s="14"/>
      <x:c r="C41" t="str">
        <x:f>IF(B41="","",TEXT(B41,"yyyy-mm"))</x:f>
      </x:c>
      <x:c r="G41" s="16"/>
    </x:row>
    <x:row r="42">
      <x:c r="B42" s="14"/>
      <x:c r="C42" t="str">
        <x:f>IF(B42="","",TEXT(B42,"yyyy-mm"))</x:f>
      </x:c>
      <x:c r="G42" s="16"/>
    </x:row>
    <x:row r="43">
      <x:c r="B43" s="14"/>
      <x:c r="C43" t="str">
        <x:f>IF(B43="","",TEXT(B43,"yyyy-mm"))</x:f>
      </x:c>
      <x:c r="G43" s="16"/>
    </x:row>
    <x:row r="44">
      <x:c r="B44" s="14"/>
      <x:c r="C44" t="str">
        <x:f>IF(B44="","",TEXT(B44,"yyyy-mm"))</x:f>
      </x:c>
      <x:c r="G44" s="16"/>
    </x:row>
    <x:row r="45">
      <x:c r="B45" s="14"/>
      <x:c r="C45" t="str">
        <x:f>IF(B45="","",TEXT(B45,"yyyy-mm"))</x:f>
      </x:c>
      <x:c r="G45" s="16"/>
    </x:row>
    <x:row r="46">
      <x:c r="B46" s="14"/>
      <x:c r="C46" t="str">
        <x:f>IF(B46="","",TEXT(B46,"yyyy-mm"))</x:f>
      </x:c>
      <x:c r="G46" s="16"/>
    </x:row>
    <x:row r="47">
      <x:c r="B47" s="14"/>
      <x:c r="C47" t="str">
        <x:f>IF(B47="","",TEXT(B47,"yyyy-mm"))</x:f>
      </x:c>
      <x:c r="G47" s="16"/>
    </x:row>
    <x:row r="48">
      <x:c r="B48" s="14"/>
      <x:c r="C48" t="str">
        <x:f>IF(B48="","",TEXT(B48,"yyyy-mm"))</x:f>
      </x:c>
      <x:c r="G48" s="16"/>
    </x:row>
    <x:row r="49">
      <x:c r="B49" s="14"/>
      <x:c r="C49" t="str">
        <x:f>IF(B49="","",TEXT(B49,"yyyy-mm"))</x:f>
      </x:c>
      <x:c r="G49" s="16"/>
    </x:row>
    <x:row r="50">
      <x:c r="B50" s="14"/>
      <x:c r="C50" t="str">
        <x:f>IF(B50="","",TEXT(B50,"yyyy-mm"))</x:f>
      </x:c>
      <x:c r="G50" s="16"/>
    </x:row>
    <x:row r="51">
      <x:c r="B51" s="14"/>
      <x:c r="C51" t="str">
        <x:f>IF(B51="","",TEXT(B51,"yyyy-mm"))</x:f>
      </x:c>
      <x:c r="G51" s="16"/>
    </x:row>
    <x:row r="52">
      <x:c r="B52" s="14"/>
      <x:c r="C52" t="str">
        <x:f>IF(B52="","",TEXT(B52,"yyyy-mm"))</x:f>
      </x:c>
      <x:c r="G52" s="16"/>
    </x:row>
    <x:row r="53">
      <x:c r="B53" s="14"/>
      <x:c r="C53" t="str">
        <x:f>IF(B53="","",TEXT(B53,"yyyy-mm"))</x:f>
      </x:c>
      <x:c r="G53" s="16"/>
    </x:row>
    <x:row r="54">
      <x:c r="B54" s="14"/>
      <x:c r="C54" t="str">
        <x:f>IF(B54="","",TEXT(B54,"yyyy-mm"))</x:f>
      </x:c>
      <x:c r="G54" s="16"/>
    </x:row>
    <x:row r="55">
      <x:c r="B55" s="14"/>
      <x:c r="C55" t="str">
        <x:f>IF(B55="","",TEXT(B55,"yyyy-mm"))</x:f>
      </x:c>
      <x:c r="G55" s="16"/>
    </x:row>
    <x:row r="56">
      <x:c r="B56" s="14"/>
      <x:c r="C56" t="str">
        <x:f>IF(B56="","",TEXT(B56,"yyyy-mm"))</x:f>
      </x:c>
      <x:c r="G56" s="16"/>
    </x:row>
    <x:row r="57">
      <x:c r="B57" s="14"/>
      <x:c r="C57" t="str">
        <x:f>IF(B57="","",TEXT(B57,"yyyy-mm"))</x:f>
      </x:c>
      <x:c r="G57" s="16"/>
    </x:row>
    <x:row r="58">
      <x:c r="B58" s="14"/>
      <x:c r="C58" t="str">
        <x:f>IF(B58="","",TEXT(B58,"yyyy-mm"))</x:f>
      </x:c>
      <x:c r="G58" s="16"/>
    </x:row>
    <x:row r="59">
      <x:c r="B59" s="14"/>
      <x:c r="C59" t="str">
        <x:f>IF(B59="","",TEXT(B59,"yyyy-mm"))</x:f>
      </x:c>
      <x:c r="G59" s="16"/>
    </x:row>
    <x:row r="60">
      <x:c r="B60" s="14"/>
      <x:c r="C60" t="str">
        <x:f>IF(B60="","",TEXT(B60,"yyyy-mm"))</x:f>
      </x:c>
      <x:c r="G60" s="16"/>
    </x:row>
    <x:row r="61">
      <x:c r="B61" s="14"/>
      <x:c r="C61" t="str">
        <x:f>IF(B61="","",TEXT(B61,"yyyy-mm"))</x:f>
      </x:c>
      <x:c r="G61" s="16"/>
    </x:row>
    <x:row r="62">
      <x:c r="B62" s="14"/>
      <x:c r="C62" t="str">
        <x:f>IF(B62="","",TEXT(B62,"yyyy-mm"))</x:f>
      </x:c>
      <x:c r="G62" s="16"/>
    </x:row>
    <x:row r="63">
      <x:c r="B63" s="14"/>
      <x:c r="C63" t="str">
        <x:f>IF(B63="","",TEXT(B63,"yyyy-mm"))</x:f>
      </x:c>
      <x:c r="G63" s="16"/>
    </x:row>
    <x:row r="64">
      <x:c r="B64" s="14"/>
      <x:c r="C64" t="str">
        <x:f>IF(B64="","",TEXT(B64,"yyyy-mm"))</x:f>
      </x:c>
      <x:c r="G64" s="16"/>
    </x:row>
    <x:row r="65">
      <x:c r="B65" s="14"/>
      <x:c r="C65" t="str">
        <x:f>IF(B65="","",TEXT(B65,"yyyy-mm"))</x:f>
      </x:c>
      <x:c r="G65" s="16"/>
    </x:row>
    <x:row r="66">
      <x:c r="B66" s="14"/>
      <x:c r="C66" t="str">
        <x:f>IF(B66="","",TEXT(B66,"yyyy-mm"))</x:f>
      </x:c>
      <x:c r="G66" s="16"/>
    </x:row>
    <x:row r="67">
      <x:c r="B67" s="14"/>
      <x:c r="C67" t="str">
        <x:f>IF(B67="","",TEXT(B67,"yyyy-mm"))</x:f>
      </x:c>
      <x:c r="G67" s="16"/>
    </x:row>
    <x:row r="68">
      <x:c r="B68" s="14"/>
      <x:c r="C68" t="str">
        <x:f>IF(B68="","",TEXT(B68,"yyyy-mm"))</x:f>
      </x:c>
      <x:c r="G68" s="16"/>
    </x:row>
    <x:row r="69">
      <x:c r="B69" s="14"/>
      <x:c r="C69" t="str">
        <x:f>IF(B69="","",TEXT(B69,"yyyy-mm"))</x:f>
      </x:c>
      <x:c r="G69" s="16"/>
    </x:row>
    <x:row r="70">
      <x:c r="B70" s="14"/>
      <x:c r="C70" t="str">
        <x:f>IF(B70="","",TEXT(B70,"yyyy-mm"))</x:f>
      </x:c>
      <x:c r="G70" s="16"/>
    </x:row>
    <x:row r="71">
      <x:c r="B71" s="14"/>
      <x:c r="C71" t="str">
        <x:f>IF(B71="","",TEXT(B71,"yyyy-mm"))</x:f>
      </x:c>
      <x:c r="G71" s="16"/>
    </x:row>
    <x:row r="72">
      <x:c r="B72" s="14"/>
      <x:c r="C72" t="str">
        <x:f>IF(B72="","",TEXT(B72,"yyyy-mm"))</x:f>
      </x:c>
      <x:c r="G72" s="16"/>
    </x:row>
    <x:row r="73">
      <x:c r="B73" s="14"/>
      <x:c r="C73" t="str">
        <x:f>IF(B73="","",TEXT(B73,"yyyy-mm"))</x:f>
      </x:c>
      <x:c r="G73" s="16"/>
    </x:row>
    <x:row r="74">
      <x:c r="B74" s="14"/>
      <x:c r="C74" t="str">
        <x:f>IF(B74="","",TEXT(B74,"yyyy-mm"))</x:f>
      </x:c>
      <x:c r="G74" s="16"/>
    </x:row>
    <x:row r="75">
      <x:c r="B75" s="14"/>
      <x:c r="C75" t="str">
        <x:f>IF(B75="","",TEXT(B75,"yyyy-mm"))</x:f>
      </x:c>
      <x:c r="G75" s="16"/>
    </x:row>
    <x:row r="76">
      <x:c r="B76" s="14"/>
      <x:c r="C76" t="str">
        <x:f>IF(B76="","",TEXT(B76,"yyyy-mm"))</x:f>
      </x:c>
      <x:c r="G76" s="16"/>
    </x:row>
    <x:row r="77">
      <x:c r="B77" s="14"/>
      <x:c r="C77" t="str">
        <x:f>IF(B77="","",TEXT(B77,"yyyy-mm"))</x:f>
      </x:c>
      <x:c r="G77" s="16"/>
    </x:row>
    <x:row r="78">
      <x:c r="B78" s="14"/>
      <x:c r="C78" t="str">
        <x:f>IF(B78="","",TEXT(B78,"yyyy-mm"))</x:f>
      </x:c>
      <x:c r="G78" s="16"/>
    </x:row>
    <x:row r="79">
      <x:c r="B79" s="14"/>
      <x:c r="C79" t="str">
        <x:f>IF(B79="","",TEXT(B79,"yyyy-mm"))</x:f>
      </x:c>
      <x:c r="G79" s="16"/>
    </x:row>
    <x:row r="80">
      <x:c r="B80" s="14"/>
      <x:c r="C80" t="str">
        <x:f>IF(B80="","",TEXT(B80,"yyyy-mm"))</x:f>
      </x:c>
      <x:c r="G80" s="16"/>
    </x:row>
    <x:row r="81">
      <x:c r="B81" s="14"/>
      <x:c r="C81" t="str">
        <x:f>IF(B81="","",TEXT(B81,"yyyy-mm"))</x:f>
      </x:c>
      <x:c r="G81" s="16"/>
    </x:row>
    <x:row r="82">
      <x:c r="B82" s="14"/>
      <x:c r="C82" t="str">
        <x:f>IF(B82="","",TEXT(B82,"yyyy-mm"))</x:f>
      </x:c>
      <x:c r="G82" s="16"/>
    </x:row>
    <x:row r="83">
      <x:c r="B83" s="14"/>
      <x:c r="C83" t="str">
        <x:f>IF(B83="","",TEXT(B83,"yyyy-mm"))</x:f>
      </x:c>
      <x:c r="G83" s="16"/>
    </x:row>
    <x:row r="84">
      <x:c r="B84" s="14"/>
      <x:c r="C84" t="str">
        <x:f>IF(B84="","",TEXT(B84,"yyyy-mm"))</x:f>
      </x:c>
      <x:c r="G84" s="16"/>
    </x:row>
    <x:row r="85">
      <x:c r="B85" s="14"/>
      <x:c r="C85" t="str">
        <x:f>IF(B85="","",TEXT(B85,"yyyy-mm"))</x:f>
      </x:c>
      <x:c r="G85" s="16"/>
    </x:row>
    <x:row r="86">
      <x:c r="B86" s="14"/>
      <x:c r="C86" t="str">
        <x:f>IF(B86="","",TEXT(B86,"yyyy-mm"))</x:f>
      </x:c>
      <x:c r="G86" s="16"/>
    </x:row>
    <x:row r="87">
      <x:c r="B87" s="14"/>
      <x:c r="C87" t="str">
        <x:f>IF(B87="","",TEXT(B87,"yyyy-mm"))</x:f>
      </x:c>
      <x:c r="G87" s="16"/>
    </x:row>
    <x:row r="88">
      <x:c r="B88" s="14"/>
      <x:c r="C88" t="str">
        <x:f>IF(B88="","",TEXT(B88,"yyyy-mm"))</x:f>
      </x:c>
      <x:c r="G88" s="16"/>
    </x:row>
    <x:row r="89">
      <x:c r="B89" s="14"/>
      <x:c r="C89" t="str">
        <x:f>IF(B89="","",TEXT(B89,"yyyy-mm"))</x:f>
      </x:c>
      <x:c r="G89" s="16"/>
    </x:row>
    <x:row r="90">
      <x:c r="B90" s="14"/>
      <x:c r="C90" t="str">
        <x:f>IF(B90="","",TEXT(B90,"yyyy-mm"))</x:f>
      </x:c>
      <x:c r="G90" s="16"/>
    </x:row>
    <x:row r="91">
      <x:c r="B91" s="14"/>
      <x:c r="C91" t="str">
        <x:f>IF(B91="","",TEXT(B91,"yyyy-mm"))</x:f>
      </x:c>
      <x:c r="G91" s="16"/>
    </x:row>
    <x:row r="92">
      <x:c r="B92" s="14"/>
      <x:c r="C92" t="str">
        <x:f>IF(B92="","",TEXT(B92,"yyyy-mm"))</x:f>
      </x:c>
      <x:c r="G92" s="16"/>
    </x:row>
    <x:row r="93">
      <x:c r="B93" s="14"/>
      <x:c r="C93" t="str">
        <x:f>IF(B93="","",TEXT(B93,"yyyy-mm"))</x:f>
      </x:c>
      <x:c r="G93" s="16"/>
    </x:row>
    <x:row r="94">
      <x:c r="B94" s="14"/>
      <x:c r="C94" t="str">
        <x:f>IF(B94="","",TEXT(B94,"yyyy-mm"))</x:f>
      </x:c>
      <x:c r="G94" s="16"/>
    </x:row>
    <x:row r="95">
      <x:c r="B95" s="14"/>
      <x:c r="C95" t="str">
        <x:f>IF(B95="","",TEXT(B95,"yyyy-mm"))</x:f>
      </x:c>
      <x:c r="G95" s="16"/>
    </x:row>
    <x:row r="96">
      <x:c r="B96" s="14"/>
      <x:c r="C96" t="str">
        <x:f>IF(B96="","",TEXT(B96,"yyyy-mm"))</x:f>
      </x:c>
      <x:c r="G96" s="16"/>
    </x:row>
    <x:row r="97">
      <x:c r="B97" s="14"/>
      <x:c r="C97" t="str">
        <x:f>IF(B97="","",TEXT(B97,"yyyy-mm"))</x:f>
      </x:c>
      <x:c r="G97" s="16"/>
    </x:row>
    <x:row r="98">
      <x:c r="B98" s="14"/>
      <x:c r="C98" t="str">
        <x:f>IF(B98="","",TEXT(B98,"yyyy-mm"))</x:f>
      </x:c>
      <x:c r="G98" s="16"/>
    </x:row>
    <x:row r="99">
      <x:c r="B99" s="14"/>
      <x:c r="C99" t="str">
        <x:f>IF(B99="","",TEXT(B99,"yyyy-mm"))</x:f>
      </x:c>
      <x:c r="G99" s="16"/>
    </x:row>
    <x:row r="100">
      <x:c r="B100" s="14"/>
      <x:c r="C100" t="str">
        <x:f>IF(B100="","",TEXT(B100,"yyyy-mm"))</x:f>
      </x:c>
      <x:c r="G100" s="16"/>
    </x:row>
    <x:row r="101">
      <x:c r="B101" s="14"/>
      <x:c r="C101" t="str">
        <x:f>IF(B101="","",TEXT(B101,"yyyy-mm"))</x:f>
      </x:c>
      <x:c r="G101" s="16"/>
    </x:row>
    <x:row r="102">
      <x:c r="B102" s="14"/>
      <x:c r="C102" t="str">
        <x:f>IF(B102="","",TEXT(B102,"yyyy-mm"))</x:f>
      </x:c>
      <x:c r="G102" s="16"/>
    </x:row>
    <x:row r="103">
      <x:c r="B103" s="14"/>
      <x:c r="C103" t="str">
        <x:f>IF(B103="","",TEXT(B103,"yyyy-mm"))</x:f>
      </x:c>
      <x:c r="G103" s="16"/>
    </x:row>
    <x:row r="104">
      <x:c r="B104" s="14"/>
      <x:c r="C104" t="str">
        <x:f>IF(B104="","",TEXT(B104,"yyyy-mm"))</x:f>
      </x:c>
      <x:c r="G104" s="16"/>
    </x:row>
    <x:row r="105">
      <x:c r="B105" s="14"/>
      <x:c r="C105" t="str">
        <x:f>IF(B105="","",TEXT(B105,"yyyy-mm"))</x:f>
      </x:c>
      <x:c r="G105" s="16"/>
    </x:row>
    <x:row r="106">
      <x:c r="B106" s="14"/>
      <x:c r="C106" t="str">
        <x:f>IF(B106="","",TEXT(B106,"yyyy-mm"))</x:f>
      </x:c>
      <x:c r="G106" s="16"/>
    </x:row>
    <x:row r="107">
      <x:c r="B107" s="14"/>
      <x:c r="C107" t="str">
        <x:f>IF(B107="","",TEXT(B107,"yyyy-mm"))</x:f>
      </x:c>
      <x:c r="G107" s="16"/>
    </x:row>
    <x:row r="108">
      <x:c r="B108" s="14"/>
      <x:c r="C108" t="str">
        <x:f>IF(B108="","",TEXT(B108,"yyyy-mm"))</x:f>
      </x:c>
      <x:c r="G108" s="16"/>
    </x:row>
    <x:row r="109">
      <x:c r="B109" s="14"/>
      <x:c r="C109" t="str">
        <x:f>IF(B109="","",TEXT(B109,"yyyy-mm"))</x:f>
      </x:c>
      <x:c r="G109" s="16"/>
    </x:row>
    <x:row r="110">
      <x:c r="B110" s="14"/>
      <x:c r="C110" t="str">
        <x:f>IF(B110="","",TEXT(B110,"yyyy-mm"))</x:f>
      </x:c>
      <x:c r="G110" s="16"/>
    </x:row>
    <x:row r="111">
      <x:c r="B111" s="14"/>
      <x:c r="C111" t="str">
        <x:f>IF(B111="","",TEXT(B111,"yyyy-mm"))</x:f>
      </x:c>
      <x:c r="G111" s="16"/>
    </x:row>
    <x:row r="112">
      <x:c r="B112" s="14"/>
      <x:c r="C112" t="str">
        <x:f>IF(B112="","",TEXT(B112,"yyyy-mm"))</x:f>
      </x:c>
      <x:c r="G112" s="16"/>
    </x:row>
    <x:row r="113">
      <x:c r="B113" s="14"/>
      <x:c r="C113" t="str">
        <x:f>IF(B113="","",TEXT(B113,"yyyy-mm"))</x:f>
      </x:c>
      <x:c r="G113" s="16"/>
    </x:row>
    <x:row r="114">
      <x:c r="B114" s="14"/>
      <x:c r="C114" t="str">
        <x:f>IF(B114="","",TEXT(B114,"yyyy-mm"))</x:f>
      </x:c>
      <x:c r="G114" s="16"/>
    </x:row>
    <x:row r="115">
      <x:c r="B115" s="14"/>
      <x:c r="C115" t="str">
        <x:f>IF(B115="","",TEXT(B115,"yyyy-mm"))</x:f>
      </x:c>
      <x:c r="G115" s="16"/>
    </x:row>
    <x:row r="116">
      <x:c r="B116" s="14"/>
      <x:c r="C116" t="str">
        <x:f>IF(B116="","",TEXT(B116,"yyyy-mm"))</x:f>
      </x:c>
      <x:c r="G116" s="16"/>
    </x:row>
    <x:row r="117">
      <x:c r="B117" s="14"/>
      <x:c r="C117" t="str">
        <x:f>IF(B117="","",TEXT(B117,"yyyy-mm"))</x:f>
      </x:c>
      <x:c r="G117" s="16"/>
    </x:row>
    <x:row r="118">
      <x:c r="B118" s="14"/>
      <x:c r="C118" t="str">
        <x:f>IF(B118="","",TEXT(B118,"yyyy-mm"))</x:f>
      </x:c>
      <x:c r="G118" s="16"/>
    </x:row>
    <x:row r="119">
      <x:c r="B119" s="14"/>
      <x:c r="C119" t="str">
        <x:f>IF(B119="","",TEXT(B119,"yyyy-mm"))</x:f>
      </x:c>
      <x:c r="G119" s="16"/>
    </x:row>
    <x:row r="120">
      <x:c r="B120" s="14"/>
      <x:c r="C120" t="str">
        <x:f>IF(B120="","",TEXT(B120,"yyyy-mm"))</x:f>
      </x:c>
      <x:c r="G120" s="16"/>
    </x:row>
    <x:row r="121">
      <x:c r="B121" s="14"/>
      <x:c r="C121" t="str">
        <x:f>IF(B121="","",TEXT(B121,"yyyy-mm"))</x:f>
      </x:c>
      <x:c r="G121" s="16"/>
    </x:row>
    <x:row r="122">
      <x:c r="B122" s="14"/>
      <x:c r="C122" t="str">
        <x:f>IF(B122="","",TEXT(B122,"yyyy-mm"))</x:f>
      </x:c>
      <x:c r="G122" s="16"/>
    </x:row>
    <x:row r="123">
      <x:c r="B123" s="14"/>
      <x:c r="C123" t="str">
        <x:f>IF(B123="","",TEXT(B123,"yyyy-mm"))</x:f>
      </x:c>
      <x:c r="G123" s="16"/>
    </x:row>
    <x:row r="124">
      <x:c r="B124" s="14"/>
      <x:c r="C124" t="str">
        <x:f>IF(B124="","",TEXT(B124,"yyyy-mm"))</x:f>
      </x:c>
      <x:c r="G124" s="16"/>
    </x:row>
    <x:row r="125">
      <x:c r="B125" s="14"/>
      <x:c r="C125" t="str">
        <x:f>IF(B125="","",TEXT(B125,"yyyy-mm"))</x:f>
      </x:c>
      <x:c r="G125" s="16"/>
    </x:row>
    <x:row r="126">
      <x:c r="B126" s="14"/>
      <x:c r="C126" t="str">
        <x:f>IF(B126="","",TEXT(B126,"yyyy-mm"))</x:f>
      </x:c>
      <x:c r="G126" s="16"/>
    </x:row>
    <x:row r="127">
      <x:c r="B127" s="14"/>
      <x:c r="C127" t="str">
        <x:f>IF(B127="","",TEXT(B127,"yyyy-mm"))</x:f>
      </x:c>
      <x:c r="G127" s="16"/>
    </x:row>
    <x:row r="128">
      <x:c r="B128" s="14"/>
      <x:c r="C128" t="str">
        <x:f>IF(B128="","",TEXT(B128,"yyyy-mm"))</x:f>
      </x:c>
      <x:c r="G128" s="16"/>
    </x:row>
    <x:row r="129">
      <x:c r="B129" s="14"/>
      <x:c r="C129" t="str">
        <x:f>IF(B129="","",TEXT(B129,"yyyy-mm"))</x:f>
      </x:c>
      <x:c r="G129" s="16"/>
    </x:row>
    <x:row r="130">
      <x:c r="B130" s="14"/>
      <x:c r="C130" t="str">
        <x:f>IF(B130="","",TEXT(B130,"yyyy-mm"))</x:f>
      </x:c>
      <x:c r="G130" s="16"/>
    </x:row>
    <x:row r="131">
      <x:c r="B131" s="14"/>
      <x:c r="C131" t="str">
        <x:f>IF(B131="","",TEXT(B131,"yyyy-mm"))</x:f>
      </x:c>
      <x:c r="G131" s="16"/>
    </x:row>
    <x:row r="132">
      <x:c r="B132" s="14"/>
      <x:c r="C132" t="str">
        <x:f>IF(B132="","",TEXT(B132,"yyyy-mm"))</x:f>
      </x:c>
      <x:c r="G132" s="16"/>
    </x:row>
    <x:row r="133">
      <x:c r="B133" s="14"/>
      <x:c r="C133" t="str">
        <x:f>IF(B133="","",TEXT(B133,"yyyy-mm"))</x:f>
      </x:c>
      <x:c r="G133" s="16"/>
    </x:row>
    <x:row r="134">
      <x:c r="B134" s="14"/>
      <x:c r="C134" t="str">
        <x:f>IF(B134="","",TEXT(B134,"yyyy-mm"))</x:f>
      </x:c>
      <x:c r="G134" s="16"/>
    </x:row>
    <x:row r="135">
      <x:c r="B135" s="14"/>
      <x:c r="C135" t="str">
        <x:f>IF(B135="","",TEXT(B135,"yyyy-mm"))</x:f>
      </x:c>
      <x:c r="G135" s="16"/>
    </x:row>
    <x:row r="136">
      <x:c r="B136" s="14"/>
      <x:c r="C136" t="str">
        <x:f>IF(B136="","",TEXT(B136,"yyyy-mm"))</x:f>
      </x:c>
      <x:c r="G136" s="16"/>
    </x:row>
    <x:row r="137">
      <x:c r="B137" s="14"/>
      <x:c r="C137" t="str">
        <x:f>IF(B137="","",TEXT(B137,"yyyy-mm"))</x:f>
      </x:c>
      <x:c r="G137" s="16"/>
    </x:row>
    <x:row r="138">
      <x:c r="B138" s="14"/>
      <x:c r="C138" t="str">
        <x:f>IF(B138="","",TEXT(B138,"yyyy-mm"))</x:f>
      </x:c>
      <x:c r="G138" s="16"/>
    </x:row>
    <x:row r="139">
      <x:c r="B139" s="14"/>
      <x:c r="C139" t="str">
        <x:f>IF(B139="","",TEXT(B139,"yyyy-mm"))</x:f>
      </x:c>
      <x:c r="G139" s="16"/>
    </x:row>
    <x:row r="140">
      <x:c r="B140" s="14"/>
      <x:c r="C140" t="str">
        <x:f>IF(B140="","",TEXT(B140,"yyyy-mm"))</x:f>
      </x:c>
      <x:c r="G140" s="16"/>
    </x:row>
    <x:row r="141">
      <x:c r="B141" s="14"/>
      <x:c r="C141" t="str">
        <x:f>IF(B141="","",TEXT(B141,"yyyy-mm"))</x:f>
      </x:c>
      <x:c r="G141" s="16"/>
    </x:row>
    <x:row r="142">
      <x:c r="B142" s="14"/>
      <x:c r="C142" t="str">
        <x:f>IF(B142="","",TEXT(B142,"yyyy-mm"))</x:f>
      </x:c>
      <x:c r="G142" s="16"/>
    </x:row>
    <x:row r="143">
      <x:c r="B143" s="14"/>
      <x:c r="C143" t="str">
        <x:f>IF(B143="","",TEXT(B143,"yyyy-mm"))</x:f>
      </x:c>
      <x:c r="G143" s="16"/>
    </x:row>
    <x:row r="144">
      <x:c r="B144" s="14"/>
      <x:c r="C144" t="str">
        <x:f>IF(B144="","",TEXT(B144,"yyyy-mm"))</x:f>
      </x:c>
      <x:c r="G144" s="16"/>
    </x:row>
    <x:row r="145">
      <x:c r="B145" s="14"/>
      <x:c r="C145" t="str">
        <x:f>IF(B145="","",TEXT(B145,"yyyy-mm"))</x:f>
      </x:c>
      <x:c r="G145" s="16"/>
    </x:row>
    <x:row r="146">
      <x:c r="B146" s="14"/>
      <x:c r="C146" t="str">
        <x:f>IF(B146="","",TEXT(B146,"yyyy-mm"))</x:f>
      </x:c>
      <x:c r="G146" s="16"/>
    </x:row>
    <x:row r="147">
      <x:c r="B147" s="14"/>
      <x:c r="C147" t="str">
        <x:f>IF(B147="","",TEXT(B147,"yyyy-mm"))</x:f>
      </x:c>
      <x:c r="G147" s="16"/>
    </x:row>
    <x:row r="148">
      <x:c r="B148" s="14"/>
      <x:c r="C148" t="str">
        <x:f>IF(B148="","",TEXT(B148,"yyyy-mm"))</x:f>
      </x:c>
      <x:c r="G148" s="16"/>
    </x:row>
    <x:row r="149">
      <x:c r="B149" s="14"/>
      <x:c r="C149" t="str">
        <x:f>IF(B149="","",TEXT(B149,"yyyy-mm"))</x:f>
      </x:c>
      <x:c r="G149" s="16"/>
    </x:row>
    <x:row r="150">
      <x:c r="B150" s="14"/>
      <x:c r="C150" t="str">
        <x:f>IF(B150="","",TEXT(B150,"yyyy-mm"))</x:f>
      </x:c>
      <x:c r="G150" s="16"/>
    </x:row>
    <x:row r="151">
      <x:c r="B151" s="14"/>
      <x:c r="C151" t="str">
        <x:f>IF(B151="","",TEXT(B151,"yyyy-mm"))</x:f>
      </x:c>
      <x:c r="G151" s="16"/>
    </x:row>
    <x:row r="152">
      <x:c r="B152" s="14"/>
      <x:c r="C152" t="str">
        <x:f>IF(B152="","",TEXT(B152,"yyyy-mm"))</x:f>
      </x:c>
      <x:c r="G152" s="16"/>
    </x:row>
    <x:row r="153">
      <x:c r="B153" s="14"/>
      <x:c r="C153" t="str">
        <x:f>IF(B153="","",TEXT(B153,"yyyy-mm"))</x:f>
      </x:c>
      <x:c r="G153" s="16"/>
    </x:row>
    <x:row r="154">
      <x:c r="B154" s="14"/>
      <x:c r="C154" t="str">
        <x:f>IF(B154="","",TEXT(B154,"yyyy-mm"))</x:f>
      </x:c>
      <x:c r="G154" s="16"/>
    </x:row>
    <x:row r="155">
      <x:c r="B155" s="14"/>
      <x:c r="C155" t="str">
        <x:f>IF(B155="","",TEXT(B155,"yyyy-mm"))</x:f>
      </x:c>
      <x:c r="G155" s="16"/>
    </x:row>
    <x:row r="156">
      <x:c r="B156" s="14"/>
      <x:c r="C156" t="str">
        <x:f>IF(B156="","",TEXT(B156,"yyyy-mm"))</x:f>
      </x:c>
      <x:c r="G156" s="16"/>
    </x:row>
    <x:row r="157">
      <x:c r="B157" s="14"/>
      <x:c r="C157" t="str">
        <x:f>IF(B157="","",TEXT(B157,"yyyy-mm"))</x:f>
      </x:c>
      <x:c r="G157" s="16"/>
    </x:row>
    <x:row r="158">
      <x:c r="B158" s="14"/>
      <x:c r="C158" t="str">
        <x:f>IF(B158="","",TEXT(B158,"yyyy-mm"))</x:f>
      </x:c>
      <x:c r="G158" s="16"/>
    </x:row>
    <x:row r="159">
      <x:c r="B159" s="14"/>
      <x:c r="C159" t="str">
        <x:f>IF(B159="","",TEXT(B159,"yyyy-mm"))</x:f>
      </x:c>
      <x:c r="G159" s="16"/>
    </x:row>
    <x:row r="160">
      <x:c r="B160" s="14"/>
      <x:c r="C160" t="str">
        <x:f>IF(B160="","",TEXT(B160,"yyyy-mm"))</x:f>
      </x:c>
      <x:c r="G160" s="16"/>
    </x:row>
    <x:row r="161">
      <x:c r="B161" s="14"/>
      <x:c r="C161" t="str">
        <x:f>IF(B161="","",TEXT(B161,"yyyy-mm"))</x:f>
      </x:c>
      <x:c r="G161" s="16"/>
    </x:row>
    <x:row r="162">
      <x:c r="B162" s="14"/>
      <x:c r="C162" t="str">
        <x:f>IF(B162="","",TEXT(B162,"yyyy-mm"))</x:f>
      </x:c>
      <x:c r="G162" s="16"/>
    </x:row>
    <x:row r="163">
      <x:c r="B163" s="14"/>
      <x:c r="C163" t="str">
        <x:f>IF(B163="","",TEXT(B163,"yyyy-mm"))</x:f>
      </x:c>
      <x:c r="G163" s="16"/>
    </x:row>
    <x:row r="164">
      <x:c r="B164" s="14"/>
      <x:c r="C164" t="str">
        <x:f>IF(B164="","",TEXT(B164,"yyyy-mm"))</x:f>
      </x:c>
      <x:c r="G164" s="16"/>
    </x:row>
    <x:row r="165">
      <x:c r="B165" s="14"/>
      <x:c r="C165" t="str">
        <x:f>IF(B165="","",TEXT(B165,"yyyy-mm"))</x:f>
      </x:c>
      <x:c r="G165" s="16"/>
    </x:row>
    <x:row r="166">
      <x:c r="B166" s="14"/>
      <x:c r="C166" t="str">
        <x:f>IF(B166="","",TEXT(B166,"yyyy-mm"))</x:f>
      </x:c>
      <x:c r="G166" s="16"/>
    </x:row>
    <x:row r="167">
      <x:c r="B167" s="14"/>
      <x:c r="C167" t="str">
        <x:f>IF(B167="","",TEXT(B167,"yyyy-mm"))</x:f>
      </x:c>
      <x:c r="G167" s="16"/>
    </x:row>
    <x:row r="168">
      <x:c r="B168" s="14"/>
      <x:c r="C168" t="str">
        <x:f>IF(B168="","",TEXT(B168,"yyyy-mm"))</x:f>
      </x:c>
      <x:c r="G168" s="16"/>
    </x:row>
    <x:row r="169">
      <x:c r="B169" s="14"/>
      <x:c r="C169" t="str">
        <x:f>IF(B169="","",TEXT(B169,"yyyy-mm"))</x:f>
      </x:c>
      <x:c r="G169" s="16"/>
    </x:row>
    <x:row r="170">
      <x:c r="B170" s="14"/>
      <x:c r="C170" t="str">
        <x:f>IF(B170="","",TEXT(B170,"yyyy-mm"))</x:f>
      </x:c>
      <x:c r="G170" s="16"/>
    </x:row>
    <x:row r="171">
      <x:c r="B171" s="14"/>
      <x:c r="C171" t="str">
        <x:f>IF(B171="","",TEXT(B171,"yyyy-mm"))</x:f>
      </x:c>
      <x:c r="G171" s="16"/>
    </x:row>
    <x:row r="172">
      <x:c r="B172" s="14"/>
      <x:c r="C172" t="str">
        <x:f>IF(B172="","",TEXT(B172,"yyyy-mm"))</x:f>
      </x:c>
      <x:c r="G172" s="16"/>
    </x:row>
    <x:row r="173">
      <x:c r="B173" s="14"/>
      <x:c r="C173" t="str">
        <x:f>IF(B173="","",TEXT(B173,"yyyy-mm"))</x:f>
      </x:c>
      <x:c r="G173" s="16"/>
    </x:row>
    <x:row r="174">
      <x:c r="B174" s="14"/>
      <x:c r="C174" t="str">
        <x:f>IF(B174="","",TEXT(B174,"yyyy-mm"))</x:f>
      </x:c>
      <x:c r="G174" s="16"/>
    </x:row>
    <x:row r="175">
      <x:c r="B175" s="14"/>
      <x:c r="C175" t="str">
        <x:f>IF(B175="","",TEXT(B175,"yyyy-mm"))</x:f>
      </x:c>
      <x:c r="G175" s="16"/>
    </x:row>
    <x:row r="176">
      <x:c r="B176" s="14"/>
      <x:c r="C176" t="str">
        <x:f>IF(B176="","",TEXT(B176,"yyyy-mm"))</x:f>
      </x:c>
      <x:c r="G176" s="16"/>
    </x:row>
    <x:row r="177">
      <x:c r="B177" s="14"/>
      <x:c r="C177" t="str">
        <x:f>IF(B177="","",TEXT(B177,"yyyy-mm"))</x:f>
      </x:c>
      <x:c r="G177" s="16"/>
    </x:row>
    <x:row r="178">
      <x:c r="B178" s="14"/>
      <x:c r="C178" t="str">
        <x:f>IF(B178="","",TEXT(B178,"yyyy-mm"))</x:f>
      </x:c>
      <x:c r="G178" s="16"/>
    </x:row>
    <x:row r="179">
      <x:c r="B179" s="14"/>
      <x:c r="C179" t="str">
        <x:f>IF(B179="","",TEXT(B179,"yyyy-mm"))</x:f>
      </x:c>
      <x:c r="G179" s="16"/>
    </x:row>
    <x:row r="180">
      <x:c r="B180" s="14"/>
      <x:c r="C180" t="str">
        <x:f>IF(B180="","",TEXT(B180,"yyyy-mm"))</x:f>
      </x:c>
      <x:c r="G180" s="16"/>
    </x:row>
    <x:row r="181">
      <x:c r="B181" s="14"/>
      <x:c r="C181" t="str">
        <x:f>IF(B181="","",TEXT(B181,"yyyy-mm"))</x:f>
      </x:c>
      <x:c r="G181" s="16"/>
    </x:row>
    <x:row r="182">
      <x:c r="B182" s="14"/>
      <x:c r="C182" t="str">
        <x:f>IF(B182="","",TEXT(B182,"yyyy-mm"))</x:f>
      </x:c>
      <x:c r="G182" s="16"/>
    </x:row>
    <x:row r="183">
      <x:c r="B183" s="14"/>
      <x:c r="C183" t="str">
        <x:f>IF(B183="","",TEXT(B183,"yyyy-mm"))</x:f>
      </x:c>
      <x:c r="G183" s="16"/>
    </x:row>
    <x:row r="184">
      <x:c r="B184" s="14"/>
      <x:c r="C184" t="str">
        <x:f>IF(B184="","",TEXT(B184,"yyyy-mm"))</x:f>
      </x:c>
      <x:c r="G184" s="16"/>
    </x:row>
    <x:row r="185">
      <x:c r="B185" s="14"/>
      <x:c r="C185" t="str">
        <x:f>IF(B185="","",TEXT(B185,"yyyy-mm"))</x:f>
      </x:c>
      <x:c r="G185" s="16"/>
    </x:row>
    <x:row r="186">
      <x:c r="B186" s="14"/>
      <x:c r="C186" t="str">
        <x:f>IF(B186="","",TEXT(B186,"yyyy-mm"))</x:f>
      </x:c>
      <x:c r="G186" s="16"/>
    </x:row>
    <x:row r="187">
      <x:c r="B187" s="14"/>
      <x:c r="C187" t="str">
        <x:f>IF(B187="","",TEXT(B187,"yyyy-mm"))</x:f>
      </x:c>
      <x:c r="G187" s="16"/>
    </x:row>
    <x:row r="188">
      <x:c r="B188" s="14"/>
      <x:c r="C188" t="str">
        <x:f>IF(B188="","",TEXT(B188,"yyyy-mm"))</x:f>
      </x:c>
      <x:c r="G188" s="16"/>
    </x:row>
    <x:row r="189">
      <x:c r="B189" s="14"/>
      <x:c r="C189" t="str">
        <x:f>IF(B189="","",TEXT(B189,"yyyy-mm"))</x:f>
      </x:c>
      <x:c r="G189" s="16"/>
    </x:row>
    <x:row r="190">
      <x:c r="B190" s="14"/>
      <x:c r="C190" t="str">
        <x:f>IF(B190="","",TEXT(B190,"yyyy-mm"))</x:f>
      </x:c>
      <x:c r="G190" s="16"/>
    </x:row>
    <x:row r="191">
      <x:c r="B191" s="14"/>
      <x:c r="C191" t="str">
        <x:f>IF(B191="","",TEXT(B191,"yyyy-mm"))</x:f>
      </x:c>
      <x:c r="G191" s="16"/>
    </x:row>
    <x:row r="192">
      <x:c r="B192" s="14"/>
      <x:c r="C192" t="str">
        <x:f>IF(B192="","",TEXT(B192,"yyyy-mm"))</x:f>
      </x:c>
      <x:c r="G192" s="16"/>
    </x:row>
    <x:row r="193">
      <x:c r="B193" s="14"/>
      <x:c r="C193" t="str">
        <x:f>IF(B193="","",TEXT(B193,"yyyy-mm"))</x:f>
      </x:c>
      <x:c r="G193" s="16"/>
    </x:row>
    <x:row r="194">
      <x:c r="B194" s="14"/>
      <x:c r="C194" t="str">
        <x:f>IF(B194="","",TEXT(B194,"yyyy-mm"))</x:f>
      </x:c>
      <x:c r="G194" s="16"/>
    </x:row>
    <x:row r="195">
      <x:c r="B195" s="14"/>
      <x:c r="C195" t="str">
        <x:f>IF(B195="","",TEXT(B195,"yyyy-mm"))</x:f>
      </x:c>
      <x:c r="G195" s="16"/>
    </x:row>
    <x:row r="196">
      <x:c r="B196" s="14"/>
      <x:c r="C196" t="str">
        <x:f>IF(B196="","",TEXT(B196,"yyyy-mm"))</x:f>
      </x:c>
      <x:c r="G196" s="16"/>
    </x:row>
    <x:row r="197">
      <x:c r="B197" s="14"/>
      <x:c r="C197" t="str">
        <x:f>IF(B197="","",TEXT(B197,"yyyy-mm"))</x:f>
      </x:c>
      <x:c r="G197" s="16"/>
    </x:row>
    <x:row r="198">
      <x:c r="B198" s="14"/>
      <x:c r="C198" t="str">
        <x:f>IF(B198="","",TEXT(B198,"yyyy-mm"))</x:f>
      </x:c>
      <x:c r="G198" s="16"/>
    </x:row>
    <x:row r="199">
      <x:c r="B199" s="14"/>
      <x:c r="C199" t="str">
        <x:f>IF(B199="","",TEXT(B199,"yyyy-mm"))</x:f>
      </x:c>
      <x:c r="G199" s="16"/>
    </x:row>
    <x:row r="200">
      <x:c r="B200" s="14"/>
      <x:c r="C200" t="str">
        <x:f>IF(B200="","",TEXT(B200,"yyyy-mm"))</x:f>
      </x:c>
      <x:c r="G200" s="16"/>
    </x:row>
    <x:row r="201">
      <x:c r="B201" s="14"/>
      <x:c r="C201" t="str">
        <x:f>IF(B201="","",TEXT(B201,"yyyy-mm"))</x:f>
      </x:c>
      <x:c r="G201" s="16"/>
    </x:row>
    <x:row r="202">
      <x:c r="B202" s="14"/>
      <x:c r="C202" t="str">
        <x:f>IF(B202="","",TEXT(B202,"yyyy-mm"))</x:f>
      </x:c>
      <x:c r="G202" s="16"/>
    </x:row>
    <x:row r="203">
      <x:c r="B203" s="14"/>
      <x:c r="C203" t="str">
        <x:f>IF(B203="","",TEXT(B203,"yyyy-mm"))</x:f>
      </x:c>
      <x:c r="G203" s="16"/>
    </x:row>
    <x:row r="204">
      <x:c r="B204" s="14"/>
      <x:c r="C204" t="str">
        <x:f>IF(B204="","",TEXT(B204,"yyyy-mm"))</x:f>
      </x:c>
      <x:c r="G204" s="16"/>
    </x:row>
    <x:row r="205">
      <x:c r="B205" s="14"/>
      <x:c r="C205" t="str">
        <x:f>IF(B205="","",TEXT(B205,"yyyy-mm"))</x:f>
      </x:c>
      <x:c r="G205" s="16"/>
    </x:row>
    <x:row r="206">
      <x:c r="B206" s="14"/>
      <x:c r="C206" t="str">
        <x:f>IF(B206="","",TEXT(B206,"yyyy-mm"))</x:f>
      </x:c>
      <x:c r="G206" s="16"/>
    </x:row>
    <x:row r="207">
      <x:c r="B207" s="14"/>
      <x:c r="C207" t="str">
        <x:f>IF(B207="","",TEXT(B207,"yyyy-mm"))</x:f>
      </x:c>
      <x:c r="G207" s="16"/>
    </x:row>
    <x:row r="208">
      <x:c r="B208" s="14"/>
      <x:c r="C208" t="str">
        <x:f>IF(B208="","",TEXT(B208,"yyyy-mm"))</x:f>
      </x:c>
      <x:c r="G208" s="16"/>
    </x:row>
    <x:row r="209">
      <x:c r="B209" s="14"/>
      <x:c r="C209" t="str">
        <x:f>IF(B209="","",TEXT(B209,"yyyy-mm"))</x:f>
      </x:c>
      <x:c r="G209" s="16"/>
    </x:row>
    <x:row r="210">
      <x:c r="B210" s="14"/>
      <x:c r="C210" t="str">
        <x:f>IF(B210="","",TEXT(B210,"yyyy-mm"))</x:f>
      </x:c>
      <x:c r="G210" s="16"/>
    </x:row>
    <x:row r="211">
      <x:c r="B211" s="14"/>
      <x:c r="C211" t="str">
        <x:f>IF(B211="","",TEXT(B211,"yyyy-mm"))</x:f>
      </x:c>
      <x:c r="G211" s="16"/>
    </x:row>
    <x:row r="212">
      <x:c r="B212" s="14"/>
      <x:c r="C212" t="str">
        <x:f>IF(B212="","",TEXT(B212,"yyyy-mm"))</x:f>
      </x:c>
      <x:c r="G212" s="16"/>
    </x:row>
    <x:row r="213">
      <x:c r="B213" s="14"/>
      <x:c r="C213" t="str">
        <x:f>IF(B213="","",TEXT(B213,"yyyy-mm"))</x:f>
      </x:c>
      <x:c r="G213" s="16"/>
    </x:row>
    <x:row r="214">
      <x:c r="B214" s="14"/>
      <x:c r="C214" t="str">
        <x:f>IF(B214="","",TEXT(B214,"yyyy-mm"))</x:f>
      </x:c>
      <x:c r="G214" s="16"/>
    </x:row>
    <x:row r="215">
      <x:c r="B215" s="14"/>
      <x:c r="C215" t="str">
        <x:f>IF(B215="","",TEXT(B215,"yyyy-mm"))</x:f>
      </x:c>
      <x:c r="G215" s="16"/>
    </x:row>
    <x:row r="216">
      <x:c r="B216" s="14"/>
      <x:c r="C216" t="str">
        <x:f>IF(B216="","",TEXT(B216,"yyyy-mm"))</x:f>
      </x:c>
      <x:c r="G216" s="16"/>
    </x:row>
    <x:row r="217">
      <x:c r="B217" s="14"/>
      <x:c r="C217" t="str">
        <x:f>IF(B217="","",TEXT(B217,"yyyy-mm"))</x:f>
      </x:c>
      <x:c r="G217" s="16"/>
    </x:row>
    <x:row r="218">
      <x:c r="B218" s="14"/>
      <x:c r="C218" t="str">
        <x:f>IF(B218="","",TEXT(B218,"yyyy-mm"))</x:f>
      </x:c>
      <x:c r="G218" s="16"/>
    </x:row>
    <x:row r="219">
      <x:c r="B219" s="14"/>
      <x:c r="C219" t="str">
        <x:f>IF(B219="","",TEXT(B219,"yyyy-mm"))</x:f>
      </x:c>
      <x:c r="G219" s="16"/>
    </x:row>
    <x:row r="220">
      <x:c r="B220" s="14"/>
      <x:c r="C220" t="str">
        <x:f>IF(B220="","",TEXT(B220,"yyyy-mm"))</x:f>
      </x:c>
      <x:c r="G220" s="16"/>
    </x:row>
    <x:row r="221">
      <x:c r="B221" s="14"/>
      <x:c r="C221" t="str">
        <x:f>IF(B221="","",TEXT(B221,"yyyy-mm"))</x:f>
      </x:c>
      <x:c r="G221" s="16"/>
    </x:row>
    <x:row r="222">
      <x:c r="B222" s="14"/>
      <x:c r="C222" t="str">
        <x:f>IF(B222="","",TEXT(B222,"yyyy-mm"))</x:f>
      </x:c>
      <x:c r="G222" s="16"/>
    </x:row>
    <x:row r="223">
      <x:c r="B223" s="14"/>
      <x:c r="C223" t="str">
        <x:f>IF(B223="","",TEXT(B223,"yyyy-mm"))</x:f>
      </x:c>
      <x:c r="G223" s="16"/>
    </x:row>
    <x:row r="224">
      <x:c r="B224" s="14"/>
      <x:c r="C224" t="str">
        <x:f>IF(B224="","",TEXT(B224,"yyyy-mm"))</x:f>
      </x:c>
      <x:c r="G224" s="16"/>
    </x:row>
    <x:row r="225">
      <x:c r="B225" s="14"/>
      <x:c r="C225" t="str">
        <x:f>IF(B225="","",TEXT(B225,"yyyy-mm"))</x:f>
      </x:c>
      <x:c r="G225" s="16"/>
    </x:row>
    <x:row r="226">
      <x:c r="B226" s="14"/>
      <x:c r="C226" t="str">
        <x:f>IF(B226="","",TEXT(B226,"yyyy-mm"))</x:f>
      </x:c>
      <x:c r="G226" s="16"/>
    </x:row>
    <x:row r="227">
      <x:c r="B227" s="14"/>
      <x:c r="C227" t="str">
        <x:f>IF(B227="","",TEXT(B227,"yyyy-mm"))</x:f>
      </x:c>
      <x:c r="G227" s="16"/>
    </x:row>
    <x:row r="228">
      <x:c r="B228" s="14"/>
      <x:c r="C228" t="str">
        <x:f>IF(B228="","",TEXT(B228,"yyyy-mm"))</x:f>
      </x:c>
      <x:c r="G228" s="16"/>
    </x:row>
    <x:row r="229">
      <x:c r="B229" s="14"/>
      <x:c r="C229" t="str">
        <x:f>IF(B229="","",TEXT(B229,"yyyy-mm"))</x:f>
      </x:c>
      <x:c r="G229" s="16"/>
    </x:row>
    <x:row r="230">
      <x:c r="B230" s="14"/>
      <x:c r="C230" t="str">
        <x:f>IF(B230="","",TEXT(B230,"yyyy-mm"))</x:f>
      </x:c>
      <x:c r="G230" s="16"/>
    </x:row>
    <x:row r="231">
      <x:c r="B231" s="14"/>
      <x:c r="C231" t="str">
        <x:f>IF(B231="","",TEXT(B231,"yyyy-mm"))</x:f>
      </x:c>
      <x:c r="G231" s="16"/>
    </x:row>
    <x:row r="232">
      <x:c r="B232" s="14"/>
      <x:c r="C232" t="str">
        <x:f>IF(B232="","",TEXT(B232,"yyyy-mm"))</x:f>
      </x:c>
      <x:c r="G232" s="16"/>
    </x:row>
    <x:row r="233">
      <x:c r="B233" s="14"/>
      <x:c r="C233" t="str">
        <x:f>IF(B233="","",TEXT(B233,"yyyy-mm"))</x:f>
      </x:c>
      <x:c r="G233" s="16"/>
    </x:row>
    <x:row r="234">
      <x:c r="B234" s="14"/>
      <x:c r="C234" t="str">
        <x:f>IF(B234="","",TEXT(B234,"yyyy-mm"))</x:f>
      </x:c>
      <x:c r="G234" s="16"/>
    </x:row>
    <x:row r="235">
      <x:c r="B235" s="14"/>
      <x:c r="C235" t="str">
        <x:f>IF(B235="","",TEXT(B235,"yyyy-mm"))</x:f>
      </x:c>
      <x:c r="G235" s="16"/>
    </x:row>
    <x:row r="236">
      <x:c r="B236" s="14"/>
      <x:c r="C236" t="str">
        <x:f>IF(B236="","",TEXT(B236,"yyyy-mm"))</x:f>
      </x:c>
      <x:c r="G236" s="16"/>
    </x:row>
    <x:row r="237">
      <x:c r="B237" s="14"/>
      <x:c r="C237" t="str">
        <x:f>IF(B237="","",TEXT(B237,"yyyy-mm"))</x:f>
      </x:c>
      <x:c r="G237" s="16"/>
    </x:row>
    <x:row r="238">
      <x:c r="B238" s="14"/>
      <x:c r="C238" t="str">
        <x:f>IF(B238="","",TEXT(B238,"yyyy-mm"))</x:f>
      </x:c>
      <x:c r="G238" s="16"/>
    </x:row>
    <x:row r="239">
      <x:c r="B239" s="14"/>
      <x:c r="C239" t="str">
        <x:f>IF(B239="","",TEXT(B239,"yyyy-mm"))</x:f>
      </x:c>
      <x:c r="G239" s="16"/>
    </x:row>
    <x:row r="240">
      <x:c r="B240" s="14"/>
      <x:c r="C240" t="str">
        <x:f>IF(B240="","",TEXT(B240,"yyyy-mm"))</x:f>
      </x:c>
      <x:c r="G240" s="16"/>
    </x:row>
    <x:row r="241">
      <x:c r="B241" s="14"/>
      <x:c r="C241" t="str">
        <x:f>IF(B241="","",TEXT(B241,"yyyy-mm"))</x:f>
      </x:c>
      <x:c r="G241" s="16"/>
    </x:row>
    <x:row r="242">
      <x:c r="B242" s="14"/>
      <x:c r="C242" t="str">
        <x:f>IF(B242="","",TEXT(B242,"yyyy-mm"))</x:f>
      </x:c>
      <x:c r="G242" s="16"/>
    </x:row>
    <x:row r="243">
      <x:c r="B243" s="14"/>
      <x:c r="C243" t="str">
        <x:f>IF(B243="","",TEXT(B243,"yyyy-mm"))</x:f>
      </x:c>
      <x:c r="G243" s="16"/>
    </x:row>
    <x:row r="244">
      <x:c r="B244" s="14"/>
      <x:c r="C244" t="str">
        <x:f>IF(B244="","",TEXT(B244,"yyyy-mm"))</x:f>
      </x:c>
      <x:c r="G244" s="16"/>
    </x:row>
    <x:row r="245">
      <x:c r="B245" s="14"/>
      <x:c r="C245" t="str">
        <x:f>IF(B245="","",TEXT(B245,"yyyy-mm"))</x:f>
      </x:c>
      <x:c r="G245" s="16"/>
    </x:row>
    <x:row r="246">
      <x:c r="B246" s="14"/>
      <x:c r="C246" t="str">
        <x:f>IF(B246="","",TEXT(B246,"yyyy-mm"))</x:f>
      </x:c>
      <x:c r="G246" s="16"/>
    </x:row>
    <x:row r="247">
      <x:c r="B247" s="14"/>
      <x:c r="C247" t="str">
        <x:f>IF(B247="","",TEXT(B247,"yyyy-mm"))</x:f>
      </x:c>
      <x:c r="G247" s="16"/>
    </x:row>
    <x:row r="248">
      <x:c r="B248" s="14"/>
      <x:c r="C248" t="str">
        <x:f>IF(B248="","",TEXT(B248,"yyyy-mm"))</x:f>
      </x:c>
      <x:c r="G248" s="16"/>
    </x:row>
    <x:row r="249">
      <x:c r="B249" s="14"/>
      <x:c r="C249" t="str">
        <x:f>IF(B249="","",TEXT(B249,"yyyy-mm"))</x:f>
      </x:c>
      <x:c r="G249" s="16"/>
    </x:row>
    <x:row r="250">
      <x:c r="B250" s="14"/>
      <x:c r="C250" t="str">
        <x:f>IF(B250="","",TEXT(B250,"yyyy-mm"))</x:f>
      </x:c>
      <x:c r="G250" s="16"/>
    </x:row>
    <x:row r="251">
      <x:c r="B251" s="14"/>
      <x:c r="C251" t="str">
        <x:f>IF(B251="","",TEXT(B251,"yyyy-mm"))</x:f>
      </x:c>
      <x:c r="G251" s="16"/>
    </x:row>
    <x:row r="252">
      <x:c r="B252" s="14"/>
      <x:c r="C252" t="str">
        <x:f>IF(B252="","",TEXT(B252,"yyyy-mm"))</x:f>
      </x:c>
      <x:c r="G252" s="16"/>
    </x:row>
    <x:row r="253">
      <x:c r="B253" s="14"/>
      <x:c r="C253" t="str">
        <x:f>IF(B253="","",TEXT(B253,"yyyy-mm"))</x:f>
      </x:c>
      <x:c r="G253" s="16"/>
    </x:row>
    <x:row r="254">
      <x:c r="B254" s="14"/>
      <x:c r="C254" t="str">
        <x:f>IF(B254="","",TEXT(B254,"yyyy-mm"))</x:f>
      </x:c>
      <x:c r="G254" s="16"/>
    </x:row>
    <x:row r="255">
      <x:c r="B255" s="14"/>
      <x:c r="C255" t="str">
        <x:f>IF(B255="","",TEXT(B255,"yyyy-mm"))</x:f>
      </x:c>
      <x:c r="G255" s="16"/>
    </x:row>
    <x:row r="256">
      <x:c r="B256" s="14"/>
      <x:c r="C256" t="str">
        <x:f>IF(B256="","",TEXT(B256,"yyyy-mm"))</x:f>
      </x:c>
      <x:c r="G256" s="16"/>
    </x:row>
    <x:row r="257">
      <x:c r="B257" s="14"/>
      <x:c r="C257" t="str">
        <x:f>IF(B257="","",TEXT(B257,"yyyy-mm"))</x:f>
      </x:c>
      <x:c r="G257" s="16"/>
    </x:row>
    <x:row r="258">
      <x:c r="B258" s="14"/>
      <x:c r="C258" t="str">
        <x:f>IF(B258="","",TEXT(B258,"yyyy-mm"))</x:f>
      </x:c>
      <x:c r="G258" s="16"/>
    </x:row>
    <x:row r="259">
      <x:c r="B259" s="14"/>
      <x:c r="C259" t="str">
        <x:f>IF(B259="","",TEXT(B259,"yyyy-mm"))</x:f>
      </x:c>
      <x:c r="G259" s="16"/>
    </x:row>
    <x:row r="260">
      <x:c r="B260" s="14"/>
      <x:c r="C260" t="str">
        <x:f>IF(B260="","",TEXT(B260,"yyyy-mm"))</x:f>
      </x:c>
      <x:c r="G260" s="16"/>
    </x:row>
    <x:row r="261">
      <x:c r="B261" s="14"/>
      <x:c r="C261" t="str">
        <x:f>IF(B261="","",TEXT(B261,"yyyy-mm"))</x:f>
      </x:c>
      <x:c r="G261" s="16"/>
    </x:row>
    <x:row r="262">
      <x:c r="B262" s="14"/>
      <x:c r="C262" t="str">
        <x:f>IF(B262="","",TEXT(B262,"yyyy-mm"))</x:f>
      </x:c>
      <x:c r="G262" s="16"/>
    </x:row>
    <x:row r="263">
      <x:c r="B263" s="14"/>
      <x:c r="C263" t="str">
        <x:f>IF(B263="","",TEXT(B263,"yyyy-mm"))</x:f>
      </x:c>
      <x:c r="G263" s="16"/>
    </x:row>
    <x:row r="264">
      <x:c r="B264" s="14"/>
      <x:c r="C264" t="str">
        <x:f>IF(B264="","",TEXT(B264,"yyyy-mm"))</x:f>
      </x:c>
      <x:c r="G264" s="16"/>
    </x:row>
    <x:row r="265">
      <x:c r="B265" s="14"/>
      <x:c r="C265" t="str">
        <x:f>IF(B265="","",TEXT(B265,"yyyy-mm"))</x:f>
      </x:c>
      <x:c r="G265" s="16"/>
    </x:row>
    <x:row r="266">
      <x:c r="B266" s="14"/>
      <x:c r="C266" t="str">
        <x:f>IF(B266="","",TEXT(B266,"yyyy-mm"))</x:f>
      </x:c>
      <x:c r="G266" s="16"/>
    </x:row>
    <x:row r="267">
      <x:c r="B267" s="14"/>
      <x:c r="C267" t="str">
        <x:f>IF(B267="","",TEXT(B267,"yyyy-mm"))</x:f>
      </x:c>
      <x:c r="G267" s="16"/>
    </x:row>
    <x:row r="268">
      <x:c r="B268" s="14"/>
      <x:c r="C268" t="str">
        <x:f>IF(B268="","",TEXT(B268,"yyyy-mm"))</x:f>
      </x:c>
      <x:c r="G268" s="16"/>
    </x:row>
    <x:row r="269">
      <x:c r="B269" s="14"/>
      <x:c r="C269" t="str">
        <x:f>IF(B269="","",TEXT(B269,"yyyy-mm"))</x:f>
      </x:c>
      <x:c r="G269" s="16"/>
    </x:row>
    <x:row r="270">
      <x:c r="B270" s="14"/>
      <x:c r="C270" t="str">
        <x:f>IF(B270="","",TEXT(B270,"yyyy-mm"))</x:f>
      </x:c>
      <x:c r="G270" s="16"/>
    </x:row>
    <x:row r="271">
      <x:c r="B271" s="14"/>
      <x:c r="C271" t="str">
        <x:f>IF(B271="","",TEXT(B271,"yyyy-mm"))</x:f>
      </x:c>
      <x:c r="G271" s="16"/>
    </x:row>
    <x:row r="272">
      <x:c r="B272" s="14"/>
      <x:c r="C272" t="str">
        <x:f>IF(B272="","",TEXT(B272,"yyyy-mm"))</x:f>
      </x:c>
      <x:c r="G272" s="16"/>
    </x:row>
    <x:row r="273">
      <x:c r="B273" s="14"/>
      <x:c r="C273" t="str">
        <x:f>IF(B273="","",TEXT(B273,"yyyy-mm"))</x:f>
      </x:c>
      <x:c r="G273" s="16"/>
    </x:row>
    <x:row r="274">
      <x:c r="B274" s="14"/>
      <x:c r="C274" t="str">
        <x:f>IF(B274="","",TEXT(B274,"yyyy-mm"))</x:f>
      </x:c>
      <x:c r="G274" s="16"/>
    </x:row>
    <x:row r="275">
      <x:c r="B275" s="14"/>
      <x:c r="C275" t="str">
        <x:f>IF(B275="","",TEXT(B275,"yyyy-mm"))</x:f>
      </x:c>
      <x:c r="G275" s="16"/>
    </x:row>
    <x:row r="276">
      <x:c r="B276" s="14"/>
      <x:c r="C276" t="str">
        <x:f>IF(B276="","",TEXT(B276,"yyyy-mm"))</x:f>
      </x:c>
      <x:c r="G276" s="16"/>
    </x:row>
    <x:row r="277">
      <x:c r="B277" s="14"/>
      <x:c r="C277" t="str">
        <x:f>IF(B277="","",TEXT(B277,"yyyy-mm"))</x:f>
      </x:c>
      <x:c r="G277" s="16"/>
    </x:row>
    <x:row r="278">
      <x:c r="B278" s="14"/>
      <x:c r="C278" t="str">
        <x:f>IF(B278="","",TEXT(B278,"yyyy-mm"))</x:f>
      </x:c>
      <x:c r="G278" s="16"/>
    </x:row>
    <x:row r="279">
      <x:c r="B279" s="14"/>
      <x:c r="C279" t="str">
        <x:f>IF(B279="","",TEXT(B279,"yyyy-mm"))</x:f>
      </x:c>
      <x:c r="G279" s="16"/>
    </x:row>
    <x:row r="280">
      <x:c r="B280" s="14"/>
      <x:c r="C280" t="str">
        <x:f>IF(B280="","",TEXT(B280,"yyyy-mm"))</x:f>
      </x:c>
      <x:c r="G280" s="16"/>
    </x:row>
    <x:row r="281">
      <x:c r="B281" s="14"/>
      <x:c r="C281" t="str">
        <x:f>IF(B281="","",TEXT(B281,"yyyy-mm"))</x:f>
      </x:c>
      <x:c r="G281" s="16"/>
    </x:row>
    <x:row r="282">
      <x:c r="B282" s="14"/>
      <x:c r="C282" t="str">
        <x:f>IF(B282="","",TEXT(B282,"yyyy-mm"))</x:f>
      </x:c>
      <x:c r="G282" s="16"/>
    </x:row>
    <x:row r="283">
      <x:c r="B283" s="14"/>
      <x:c r="C283" t="str">
        <x:f>IF(B283="","",TEXT(B283,"yyyy-mm"))</x:f>
      </x:c>
      <x:c r="G283" s="16"/>
    </x:row>
    <x:row r="284">
      <x:c r="B284" s="14"/>
      <x:c r="C284" t="str">
        <x:f>IF(B284="","",TEXT(B284,"yyyy-mm"))</x:f>
      </x:c>
      <x:c r="G284" s="16"/>
    </x:row>
    <x:row r="285">
      <x:c r="B285" s="14"/>
      <x:c r="C285" t="str">
        <x:f>IF(B285="","",TEXT(B285,"yyyy-mm"))</x:f>
      </x:c>
      <x:c r="G285" s="16"/>
    </x:row>
    <x:row r="286">
      <x:c r="B286" s="14"/>
      <x:c r="C286" t="str">
        <x:f>IF(B286="","",TEXT(B286,"yyyy-mm"))</x:f>
      </x:c>
      <x:c r="G286" s="16"/>
    </x:row>
    <x:row r="287">
      <x:c r="B287" s="14"/>
      <x:c r="C287" t="str">
        <x:f>IF(B287="","",TEXT(B287,"yyyy-mm"))</x:f>
      </x:c>
      <x:c r="G287" s="16"/>
    </x:row>
    <x:row r="288">
      <x:c r="B288" s="14"/>
      <x:c r="C288" t="str">
        <x:f>IF(B288="","",TEXT(B288,"yyyy-mm"))</x:f>
      </x:c>
      <x:c r="G288" s="16"/>
    </x:row>
    <x:row r="289">
      <x:c r="B289" s="14"/>
      <x:c r="C289" t="str">
        <x:f>IF(B289="","",TEXT(B289,"yyyy-mm"))</x:f>
      </x:c>
      <x:c r="G289" s="16"/>
    </x:row>
    <x:row r="290">
      <x:c r="B290" s="14"/>
      <x:c r="C290" t="str">
        <x:f>IF(B290="","",TEXT(B290,"yyyy-mm"))</x:f>
      </x:c>
      <x:c r="G290" s="16"/>
    </x:row>
    <x:row r="291">
      <x:c r="B291" s="14"/>
      <x:c r="C291" t="str">
        <x:f>IF(B291="","",TEXT(B291,"yyyy-mm"))</x:f>
      </x:c>
      <x:c r="G291" s="16"/>
    </x:row>
    <x:row r="292">
      <x:c r="B292" s="14"/>
      <x:c r="C292" t="str">
        <x:f>IF(B292="","",TEXT(B292,"yyyy-mm"))</x:f>
      </x:c>
      <x:c r="G292" s="16"/>
    </x:row>
    <x:row r="293">
      <x:c r="B293" s="14"/>
      <x:c r="C293" t="str">
        <x:f>IF(B293="","",TEXT(B293,"yyyy-mm"))</x:f>
      </x:c>
      <x:c r="G293" s="16"/>
    </x:row>
    <x:row r="294">
      <x:c r="B294" s="14"/>
      <x:c r="C294" t="str">
        <x:f>IF(B294="","",TEXT(B294,"yyyy-mm"))</x:f>
      </x:c>
      <x:c r="G294" s="16"/>
    </x:row>
    <x:row r="295">
      <x:c r="B295" s="14"/>
      <x:c r="C295" t="str">
        <x:f>IF(B295="","",TEXT(B295,"yyyy-mm"))</x:f>
      </x:c>
      <x:c r="G295" s="16"/>
    </x:row>
    <x:row r="296">
      <x:c r="B296" s="14"/>
      <x:c r="C296" t="str">
        <x:f>IF(B296="","",TEXT(B296,"yyyy-mm"))</x:f>
      </x:c>
      <x:c r="G296" s="16"/>
    </x:row>
    <x:row r="297">
      <x:c r="B297" s="14"/>
      <x:c r="C297" t="str">
        <x:f>IF(B297="","",TEXT(B297,"yyyy-mm"))</x:f>
      </x:c>
      <x:c r="G297" s="16"/>
    </x:row>
    <x:row r="298">
      <x:c r="B298" s="14"/>
      <x:c r="C298" t="str">
        <x:f>IF(B298="","",TEXT(B298,"yyyy-mm"))</x:f>
      </x:c>
      <x:c r="G298" s="16"/>
    </x:row>
    <x:row r="299">
      <x:c r="B299" s="14"/>
      <x:c r="C299" t="str">
        <x:f>IF(B299="","",TEXT(B299,"yyyy-mm"))</x:f>
      </x:c>
      <x:c r="G299" s="16"/>
    </x:row>
    <x:row r="300">
      <x:c r="B300" s="14"/>
      <x:c r="C300" t="str">
        <x:f>IF(B300="","",TEXT(B300,"yyyy-mm"))</x:f>
      </x:c>
      <x:c r="G300" s="16"/>
    </x:row>
    <x:row r="301">
      <x:c r="B301" s="14"/>
      <x:c r="C301" t="str">
        <x:f>IF(B301="","",TEXT(B301,"yyyy-mm"))</x:f>
      </x:c>
      <x:c r="G301" s="16"/>
    </x:row>
    <x:row r="302">
      <x:c r="B302" s="14"/>
      <x:c r="C302" t="str">
        <x:f>IF(B302="","",TEXT(B302,"yyyy-mm"))</x:f>
      </x:c>
      <x:c r="G302" s="16"/>
    </x:row>
    <x:row r="303">
      <x:c r="B303" s="14"/>
      <x:c r="C303" t="str">
        <x:f>IF(B303="","",TEXT(B303,"yyyy-mm"))</x:f>
      </x:c>
      <x:c r="G303" s="16"/>
    </x:row>
    <x:row r="304">
      <x:c r="B304" s="14"/>
      <x:c r="C304" t="str">
        <x:f>IF(B304="","",TEXT(B304,"yyyy-mm"))</x:f>
      </x:c>
      <x:c r="G304" s="16"/>
    </x:row>
    <x:row r="305">
      <x:c r="B305" s="14"/>
      <x:c r="C305" t="str">
        <x:f>IF(B305="","",TEXT(B305,"yyyy-mm"))</x:f>
      </x:c>
      <x:c r="G305" s="16"/>
    </x:row>
    <x:row r="306">
      <x:c r="B306" s="14"/>
      <x:c r="C306" t="str">
        <x:f>IF(B306="","",TEXT(B306,"yyyy-mm"))</x:f>
      </x:c>
      <x:c r="G306" s="16"/>
    </x:row>
    <x:row r="307">
      <x:c r="B307" s="14"/>
      <x:c r="C307" t="str">
        <x:f>IF(B307="","",TEXT(B307,"yyyy-mm"))</x:f>
      </x:c>
      <x:c r="G307" s="16"/>
    </x:row>
    <x:row r="308">
      <x:c r="B308" s="14"/>
      <x:c r="C308" t="str">
        <x:f>IF(B308="","",TEXT(B308,"yyyy-mm"))</x:f>
      </x:c>
      <x:c r="G308" s="16"/>
    </x:row>
    <x:row r="309">
      <x:c r="B309" s="14"/>
      <x:c r="C309" t="str">
        <x:f>IF(B309="","",TEXT(B309,"yyyy-mm"))</x:f>
      </x:c>
      <x:c r="G309" s="16"/>
    </x:row>
    <x:row r="310">
      <x:c r="B310" s="14"/>
      <x:c r="C310" t="str">
        <x:f>IF(B310="","",TEXT(B310,"yyyy-mm"))</x:f>
      </x:c>
      <x:c r="G310" s="16"/>
    </x:row>
    <x:row r="311">
      <x:c r="B311" s="14"/>
      <x:c r="C311" t="str">
        <x:f>IF(B311="","",TEXT(B311,"yyyy-mm"))</x:f>
      </x:c>
      <x:c r="G311" s="16"/>
    </x:row>
    <x:row r="312">
      <x:c r="B312" s="14"/>
      <x:c r="C312" t="str">
        <x:f>IF(B312="","",TEXT(B312,"yyyy-mm"))</x:f>
      </x:c>
      <x:c r="G312" s="16"/>
    </x:row>
    <x:row r="313">
      <x:c r="B313" s="14"/>
      <x:c r="C313" t="str">
        <x:f>IF(B313="","",TEXT(B313,"yyyy-mm"))</x:f>
      </x:c>
      <x:c r="G313" s="16"/>
    </x:row>
    <x:row r="314">
      <x:c r="B314" s="14"/>
      <x:c r="C314" t="str">
        <x:f>IF(B314="","",TEXT(B314,"yyyy-mm"))</x:f>
      </x:c>
      <x:c r="G314" s="16"/>
    </x:row>
    <x:row r="315">
      <x:c r="B315" s="14"/>
      <x:c r="C315" t="str">
        <x:f>IF(B315="","",TEXT(B315,"yyyy-mm"))</x:f>
      </x:c>
      <x:c r="G315" s="16"/>
    </x:row>
    <x:row r="316">
      <x:c r="B316" s="14"/>
      <x:c r="C316" t="str">
        <x:f>IF(B316="","",TEXT(B316,"yyyy-mm"))</x:f>
      </x:c>
      <x:c r="G316" s="16"/>
    </x:row>
    <x:row r="317">
      <x:c r="B317" s="14"/>
      <x:c r="C317" t="str">
        <x:f>IF(B317="","",TEXT(B317,"yyyy-mm"))</x:f>
      </x:c>
      <x:c r="G317" s="16"/>
    </x:row>
    <x:row r="318">
      <x:c r="B318" s="14"/>
      <x:c r="C318" t="str">
        <x:f>IF(B318="","",TEXT(B318,"yyyy-mm"))</x:f>
      </x:c>
      <x:c r="G318" s="16"/>
    </x:row>
    <x:row r="319">
      <x:c r="B319" s="14"/>
      <x:c r="C319" t="str">
        <x:f>IF(B319="","",TEXT(B319,"yyyy-mm"))</x:f>
      </x:c>
      <x:c r="G319" s="16"/>
    </x:row>
    <x:row r="320">
      <x:c r="B320" s="14"/>
      <x:c r="C320" t="str">
        <x:f>IF(B320="","",TEXT(B320,"yyyy-mm"))</x:f>
      </x:c>
      <x:c r="G320" s="16"/>
    </x:row>
    <x:row r="321">
      <x:c r="B321" s="14"/>
      <x:c r="C321" t="str">
        <x:f>IF(B321="","",TEXT(B321,"yyyy-mm"))</x:f>
      </x:c>
      <x:c r="G321" s="16"/>
    </x:row>
    <x:row r="322">
      <x:c r="B322" s="14"/>
      <x:c r="C322" t="str">
        <x:f>IF(B322="","",TEXT(B322,"yyyy-mm"))</x:f>
      </x:c>
      <x:c r="G322" s="16"/>
    </x:row>
    <x:row r="323">
      <x:c r="B323" s="14"/>
      <x:c r="C323" t="str">
        <x:f>IF(B323="","",TEXT(B323,"yyyy-mm"))</x:f>
      </x:c>
      <x:c r="G323" s="16"/>
    </x:row>
    <x:row r="324">
      <x:c r="B324" s="14"/>
      <x:c r="C324" t="str">
        <x:f>IF(B324="","",TEXT(B324,"yyyy-mm"))</x:f>
      </x:c>
      <x:c r="G324" s="16"/>
    </x:row>
    <x:row r="325">
      <x:c r="B325" s="14"/>
      <x:c r="C325" t="str">
        <x:f>IF(B325="","",TEXT(B325,"yyyy-mm"))</x:f>
      </x:c>
      <x:c r="G325" s="16"/>
    </x:row>
    <x:row r="326">
      <x:c r="B326" s="14"/>
      <x:c r="C326" t="str">
        <x:f>IF(B326="","",TEXT(B326,"yyyy-mm"))</x:f>
      </x:c>
      <x:c r="G326" s="16"/>
    </x:row>
    <x:row r="327">
      <x:c r="B327" s="14"/>
      <x:c r="C327" t="str">
        <x:f>IF(B327="","",TEXT(B327,"yyyy-mm"))</x:f>
      </x:c>
      <x:c r="G327" s="16"/>
    </x:row>
    <x:row r="328">
      <x:c r="B328" s="14"/>
      <x:c r="C328" t="str">
        <x:f>IF(B328="","",TEXT(B328,"yyyy-mm"))</x:f>
      </x:c>
      <x:c r="G328" s="16"/>
    </x:row>
    <x:row r="329">
      <x:c r="B329" s="14"/>
      <x:c r="C329" t="str">
        <x:f>IF(B329="","",TEXT(B329,"yyyy-mm"))</x:f>
      </x:c>
      <x:c r="G329" s="16"/>
    </x:row>
    <x:row r="330">
      <x:c r="B330" s="14"/>
      <x:c r="C330" t="str">
        <x:f>IF(B330="","",TEXT(B330,"yyyy-mm"))</x:f>
      </x:c>
      <x:c r="G330" s="16"/>
    </x:row>
    <x:row r="331">
      <x:c r="B331" s="14"/>
      <x:c r="C331" t="str">
        <x:f>IF(B331="","",TEXT(B331,"yyyy-mm"))</x:f>
      </x:c>
      <x:c r="G331" s="16"/>
    </x:row>
    <x:row r="332">
      <x:c r="B332" s="14"/>
      <x:c r="C332" t="str">
        <x:f>IF(B332="","",TEXT(B332,"yyyy-mm"))</x:f>
      </x:c>
      <x:c r="G332" s="16"/>
    </x:row>
    <x:row r="333">
      <x:c r="B333" s="14"/>
      <x:c r="C333" t="str">
        <x:f>IF(B333="","",TEXT(B333,"yyyy-mm"))</x:f>
      </x:c>
      <x:c r="G333" s="16"/>
    </x:row>
    <x:row r="334">
      <x:c r="B334" s="14"/>
      <x:c r="C334" t="str">
        <x:f>IF(B334="","",TEXT(B334,"yyyy-mm"))</x:f>
      </x:c>
      <x:c r="G334" s="16"/>
    </x:row>
    <x:row r="335">
      <x:c r="B335" s="14"/>
      <x:c r="C335" t="str">
        <x:f>IF(B335="","",TEXT(B335,"yyyy-mm"))</x:f>
      </x:c>
      <x:c r="G335" s="16"/>
    </x:row>
    <x:row r="336">
      <x:c r="B336" s="14"/>
      <x:c r="C336" t="str">
        <x:f>IF(B336="","",TEXT(B336,"yyyy-mm"))</x:f>
      </x:c>
      <x:c r="G336" s="16"/>
    </x:row>
    <x:row r="337">
      <x:c r="B337" s="14"/>
      <x:c r="C337" t="str">
        <x:f>IF(B337="","",TEXT(B337,"yyyy-mm"))</x:f>
      </x:c>
      <x:c r="G337" s="16"/>
    </x:row>
    <x:row r="338">
      <x:c r="B338" s="14"/>
      <x:c r="C338" t="str">
        <x:f>IF(B338="","",TEXT(B338,"yyyy-mm"))</x:f>
      </x:c>
      <x:c r="G338" s="16"/>
    </x:row>
    <x:row r="339">
      <x:c r="B339" s="14"/>
      <x:c r="C339" t="str">
        <x:f>IF(B339="","",TEXT(B339,"yyyy-mm"))</x:f>
      </x:c>
      <x:c r="G339" s="16"/>
    </x:row>
    <x:row r="340">
      <x:c r="B340" s="14"/>
      <x:c r="C340" t="str">
        <x:f>IF(B340="","",TEXT(B340,"yyyy-mm"))</x:f>
      </x:c>
      <x:c r="G340" s="16"/>
    </x:row>
    <x:row r="341">
      <x:c r="B341" s="14"/>
      <x:c r="C341" t="str">
        <x:f>IF(B341="","",TEXT(B341,"yyyy-mm"))</x:f>
      </x:c>
      <x:c r="G341" s="16"/>
    </x:row>
    <x:row r="342">
      <x:c r="B342" s="14"/>
      <x:c r="C342" t="str">
        <x:f>IF(B342="","",TEXT(B342,"yyyy-mm"))</x:f>
      </x:c>
      <x:c r="G342" s="16"/>
    </x:row>
    <x:row r="343">
      <x:c r="B343" s="14"/>
      <x:c r="C343" t="str">
        <x:f>IF(B343="","",TEXT(B343,"yyyy-mm"))</x:f>
      </x:c>
      <x:c r="G343" s="16"/>
    </x:row>
    <x:row r="344">
      <x:c r="B344" s="14"/>
      <x:c r="C344" t="str">
        <x:f>IF(B344="","",TEXT(B344,"yyyy-mm"))</x:f>
      </x:c>
      <x:c r="G344" s="16"/>
    </x:row>
    <x:row r="345">
      <x:c r="B345" s="14"/>
      <x:c r="C345" t="str">
        <x:f>IF(B345="","",TEXT(B345,"yyyy-mm"))</x:f>
      </x:c>
      <x:c r="G345" s="16"/>
    </x:row>
    <x:row r="346">
      <x:c r="B346" s="14"/>
      <x:c r="C346" t="str">
        <x:f>IF(B346="","",TEXT(B346,"yyyy-mm"))</x:f>
      </x:c>
      <x:c r="G346" s="16"/>
    </x:row>
    <x:row r="347">
      <x:c r="B347" s="14"/>
      <x:c r="C347" t="str">
        <x:f>IF(B347="","",TEXT(B347,"yyyy-mm"))</x:f>
      </x:c>
      <x:c r="G347" s="16"/>
    </x:row>
    <x:row r="348">
      <x:c r="B348" s="14"/>
      <x:c r="C348" t="str">
        <x:f>IF(B348="","",TEXT(B348,"yyyy-mm"))</x:f>
      </x:c>
      <x:c r="G348" s="16"/>
    </x:row>
    <x:row r="349">
      <x:c r="B349" s="14"/>
      <x:c r="C349" t="str">
        <x:f>IF(B349="","",TEXT(B349,"yyyy-mm"))</x:f>
      </x:c>
      <x:c r="G349" s="16"/>
    </x:row>
    <x:row r="350">
      <x:c r="B350" s="14"/>
      <x:c r="C350" t="str">
        <x:f>IF(B350="","",TEXT(B350,"yyyy-mm"))</x:f>
      </x:c>
      <x:c r="G350" s="16"/>
    </x:row>
    <x:row r="351">
      <x:c r="B351" s="14"/>
      <x:c r="C351" t="str">
        <x:f>IF(B351="","",TEXT(B351,"yyyy-mm"))</x:f>
      </x:c>
      <x:c r="G351" s="16"/>
    </x:row>
    <x:row r="352">
      <x:c r="B352" s="14"/>
      <x:c r="C352" t="str">
        <x:f>IF(B352="","",TEXT(B352,"yyyy-mm"))</x:f>
      </x:c>
      <x:c r="G352" s="16"/>
    </x:row>
    <x:row r="353">
      <x:c r="B353" s="14"/>
      <x:c r="C353" t="str">
        <x:f>IF(B353="","",TEXT(B353,"yyyy-mm"))</x:f>
      </x:c>
      <x:c r="G353" s="16"/>
    </x:row>
    <x:row r="354">
      <x:c r="B354" s="14"/>
      <x:c r="C354" t="str">
        <x:f>IF(B354="","",TEXT(B354,"yyyy-mm"))</x:f>
      </x:c>
      <x:c r="G354" s="16"/>
    </x:row>
    <x:row r="355">
      <x:c r="B355" s="14"/>
      <x:c r="C355" t="str">
        <x:f>IF(B355="","",TEXT(B355,"yyyy-mm"))</x:f>
      </x:c>
      <x:c r="G355" s="16"/>
    </x:row>
    <x:row r="356">
      <x:c r="B356" s="14"/>
      <x:c r="C356" t="str">
        <x:f>IF(B356="","",TEXT(B356,"yyyy-mm"))</x:f>
      </x:c>
      <x:c r="G356" s="16"/>
    </x:row>
    <x:row r="357">
      <x:c r="B357" s="14"/>
      <x:c r="C357" t="str">
        <x:f>IF(B357="","",TEXT(B357,"yyyy-mm"))</x:f>
      </x:c>
      <x:c r="G357" s="16"/>
    </x:row>
    <x:row r="358">
      <x:c r="B358" s="14"/>
      <x:c r="C358" t="str">
        <x:f>IF(B358="","",TEXT(B358,"yyyy-mm"))</x:f>
      </x:c>
      <x:c r="G358" s="16"/>
    </x:row>
    <x:row r="359">
      <x:c r="B359" s="14"/>
      <x:c r="C359" t="str">
        <x:f>IF(B359="","",TEXT(B359,"yyyy-mm"))</x:f>
      </x:c>
      <x:c r="G359" s="16"/>
    </x:row>
    <x:row r="360">
      <x:c r="B360" s="14"/>
      <x:c r="C360" t="str">
        <x:f>IF(B360="","",TEXT(B360,"yyyy-mm"))</x:f>
      </x:c>
      <x:c r="G360" s="16"/>
    </x:row>
    <x:row r="361">
      <x:c r="B361" s="14"/>
      <x:c r="C361" t="str">
        <x:f>IF(B361="","",TEXT(B361,"yyyy-mm"))</x:f>
      </x:c>
      <x:c r="G361" s="16"/>
    </x:row>
    <x:row r="362">
      <x:c r="B362" s="14"/>
      <x:c r="C362" t="str">
        <x:f>IF(B362="","",TEXT(B362,"yyyy-mm"))</x:f>
      </x:c>
      <x:c r="G362" s="16"/>
    </x:row>
    <x:row r="363">
      <x:c r="B363" s="14"/>
      <x:c r="C363" t="str">
        <x:f>IF(B363="","",TEXT(B363,"yyyy-mm"))</x:f>
      </x:c>
      <x:c r="G363" s="16"/>
    </x:row>
    <x:row r="364">
      <x:c r="B364" s="14"/>
      <x:c r="C364" t="str">
        <x:f>IF(B364="","",TEXT(B364,"yyyy-mm"))</x:f>
      </x:c>
      <x:c r="G364" s="16"/>
    </x:row>
    <x:row r="365">
      <x:c r="B365" s="14"/>
      <x:c r="C365" t="str">
        <x:f>IF(B365="","",TEXT(B365,"yyyy-mm"))</x:f>
      </x:c>
      <x:c r="G365" s="16"/>
    </x:row>
    <x:row r="366">
      <x:c r="B366" s="14"/>
      <x:c r="C366" t="str">
        <x:f>IF(B366="","",TEXT(B366,"yyyy-mm"))</x:f>
      </x:c>
      <x:c r="G366" s="16"/>
    </x:row>
    <x:row r="367">
      <x:c r="B367" s="14"/>
      <x:c r="C367" t="str">
        <x:f>IF(B367="","",TEXT(B367,"yyyy-mm"))</x:f>
      </x:c>
      <x:c r="G367" s="16"/>
    </x:row>
    <x:row r="368">
      <x:c r="B368" s="14"/>
      <x:c r="C368" t="str">
        <x:f>IF(B368="","",TEXT(B368,"yyyy-mm"))</x:f>
      </x:c>
      <x:c r="G368" s="16"/>
    </x:row>
    <x:row r="369">
      <x:c r="B369" s="14"/>
      <x:c r="C369" t="str">
        <x:f>IF(B369="","",TEXT(B369,"yyyy-mm"))</x:f>
      </x:c>
      <x:c r="G369" s="16"/>
    </x:row>
    <x:row r="370">
      <x:c r="B370" s="14"/>
      <x:c r="C370" t="str">
        <x:f>IF(B370="","",TEXT(B370,"yyyy-mm"))</x:f>
      </x:c>
      <x:c r="G370" s="16"/>
    </x:row>
    <x:row r="371">
      <x:c r="B371" s="14"/>
      <x:c r="C371" t="str">
        <x:f>IF(B371="","",TEXT(B371,"yyyy-mm"))</x:f>
      </x:c>
      <x:c r="G371" s="16"/>
    </x:row>
    <x:row r="372">
      <x:c r="B372" s="14"/>
      <x:c r="C372" t="str">
        <x:f>IF(B372="","",TEXT(B372,"yyyy-mm"))</x:f>
      </x:c>
      <x:c r="G372" s="16"/>
    </x:row>
    <x:row r="373">
      <x:c r="B373" s="14"/>
      <x:c r="C373" t="str">
        <x:f>IF(B373="","",TEXT(B373,"yyyy-mm"))</x:f>
      </x:c>
      <x:c r="G373" s="16"/>
    </x:row>
    <x:row r="374">
      <x:c r="B374" s="14"/>
      <x:c r="C374" t="str">
        <x:f>IF(B374="","",TEXT(B374,"yyyy-mm"))</x:f>
      </x:c>
      <x:c r="G374" s="16"/>
    </x:row>
    <x:row r="375">
      <x:c r="B375" s="14"/>
      <x:c r="C375" t="str">
        <x:f>IF(B375="","",TEXT(B375,"yyyy-mm"))</x:f>
      </x:c>
      <x:c r="G375" s="16"/>
    </x:row>
    <x:row r="376">
      <x:c r="B376" s="14"/>
      <x:c r="C376" t="str">
        <x:f>IF(B376="","",TEXT(B376,"yyyy-mm"))</x:f>
      </x:c>
      <x:c r="G376" s="16"/>
    </x:row>
    <x:row r="377">
      <x:c r="B377" s="14"/>
      <x:c r="C377" t="str">
        <x:f>IF(B377="","",TEXT(B377,"yyyy-mm"))</x:f>
      </x:c>
      <x:c r="G377" s="16"/>
    </x:row>
    <x:row r="378">
      <x:c r="B378" s="14"/>
      <x:c r="C378" t="str">
        <x:f>IF(B378="","",TEXT(B378,"yyyy-mm"))</x:f>
      </x:c>
      <x:c r="G378" s="16"/>
    </x:row>
    <x:row r="379">
      <x:c r="B379" s="14"/>
      <x:c r="C379" t="str">
        <x:f>IF(B379="","",TEXT(B379,"yyyy-mm"))</x:f>
      </x:c>
      <x:c r="G379" s="16"/>
    </x:row>
    <x:row r="380">
      <x:c r="B380" s="14"/>
      <x:c r="C380" t="str">
        <x:f>IF(B380="","",TEXT(B380,"yyyy-mm"))</x:f>
      </x:c>
      <x:c r="G380" s="16"/>
    </x:row>
    <x:row r="381">
      <x:c r="B381" s="14"/>
      <x:c r="C381" t="str">
        <x:f>IF(B381="","",TEXT(B381,"yyyy-mm"))</x:f>
      </x:c>
      <x:c r="G381" s="16"/>
    </x:row>
    <x:row r="382">
      <x:c r="B382" s="14"/>
      <x:c r="C382" t="str">
        <x:f>IF(B382="","",TEXT(B382,"yyyy-mm"))</x:f>
      </x:c>
      <x:c r="G382" s="16"/>
    </x:row>
    <x:row r="383">
      <x:c r="B383" s="14"/>
      <x:c r="C383" t="str">
        <x:f>IF(B383="","",TEXT(B383,"yyyy-mm"))</x:f>
      </x:c>
      <x:c r="G383" s="16"/>
    </x:row>
    <x:row r="384">
      <x:c r="B384" s="14"/>
      <x:c r="C384" t="str">
        <x:f>IF(B384="","",TEXT(B384,"yyyy-mm"))</x:f>
      </x:c>
      <x:c r="G384" s="16"/>
    </x:row>
    <x:row r="385">
      <x:c r="B385" s="14"/>
      <x:c r="C385" t="str">
        <x:f>IF(B385="","",TEXT(B385,"yyyy-mm"))</x:f>
      </x:c>
      <x:c r="G385" s="16"/>
    </x:row>
    <x:row r="386">
      <x:c r="B386" s="14"/>
      <x:c r="C386" t="str">
        <x:f>IF(B386="","",TEXT(B386,"yyyy-mm"))</x:f>
      </x:c>
      <x:c r="G386" s="16"/>
    </x:row>
    <x:row r="387">
      <x:c r="B387" s="14"/>
      <x:c r="C387" t="str">
        <x:f>IF(B387="","",TEXT(B387,"yyyy-mm"))</x:f>
      </x:c>
      <x:c r="G387" s="16"/>
    </x:row>
    <x:row r="388">
      <x:c r="B388" s="14"/>
      <x:c r="C388" t="str">
        <x:f>IF(B388="","",TEXT(B388,"yyyy-mm"))</x:f>
      </x:c>
      <x:c r="G388" s="16"/>
    </x:row>
    <x:row r="389">
      <x:c r="B389" s="14"/>
      <x:c r="C389" t="str">
        <x:f>IF(B389="","",TEXT(B389,"yyyy-mm"))</x:f>
      </x:c>
      <x:c r="G389" s="16"/>
    </x:row>
    <x:row r="390">
      <x:c r="B390" s="14"/>
      <x:c r="C390" t="str">
        <x:f>IF(B390="","",TEXT(B390,"yyyy-mm"))</x:f>
      </x:c>
      <x:c r="G390" s="16"/>
    </x:row>
    <x:row r="391">
      <x:c r="B391" s="14"/>
      <x:c r="C391" t="str">
        <x:f>IF(B391="","",TEXT(B391,"yyyy-mm"))</x:f>
      </x:c>
      <x:c r="G391" s="16"/>
    </x:row>
    <x:row r="392">
      <x:c r="B392" s="14"/>
      <x:c r="C392" t="str">
        <x:f>IF(B392="","",TEXT(B392,"yyyy-mm"))</x:f>
      </x:c>
      <x:c r="G392" s="16"/>
    </x:row>
    <x:row r="393">
      <x:c r="B393" s="14"/>
      <x:c r="C393" t="str">
        <x:f>IF(B393="","",TEXT(B393,"yyyy-mm"))</x:f>
      </x:c>
      <x:c r="G393" s="16"/>
    </x:row>
    <x:row r="394">
      <x:c r="B394" s="14"/>
      <x:c r="C394" t="str">
        <x:f>IF(B394="","",TEXT(B394,"yyyy-mm"))</x:f>
      </x:c>
      <x:c r="G394" s="16"/>
    </x:row>
    <x:row r="395">
      <x:c r="B395" s="14"/>
      <x:c r="C395" t="str">
        <x:f>IF(B395="","",TEXT(B395,"yyyy-mm"))</x:f>
      </x:c>
      <x:c r="G395" s="16"/>
    </x:row>
    <x:row r="396">
      <x:c r="B396" s="14"/>
      <x:c r="C396" t="str">
        <x:f>IF(B396="","",TEXT(B396,"yyyy-mm"))</x:f>
      </x:c>
      <x:c r="G396" s="16"/>
    </x:row>
    <x:row r="397">
      <x:c r="B397" s="14"/>
      <x:c r="C397" t="str">
        <x:f>IF(B397="","",TEXT(B397,"yyyy-mm"))</x:f>
      </x:c>
      <x:c r="G397" s="16"/>
    </x:row>
    <x:row r="398">
      <x:c r="B398" s="14"/>
      <x:c r="C398" t="str">
        <x:f>IF(B398="","",TEXT(B398,"yyyy-mm"))</x:f>
      </x:c>
      <x:c r="G398" s="16"/>
    </x:row>
    <x:row r="399">
      <x:c r="B399" s="14"/>
      <x:c r="C399" t="str">
        <x:f>IF(B399="","",TEXT(B399,"yyyy-mm"))</x:f>
      </x:c>
      <x:c r="G399" s="16"/>
    </x:row>
    <x:row r="400">
      <x:c r="B400" s="14"/>
      <x:c r="C400" t="str">
        <x:f>IF(B400="","",TEXT(B400,"yyyy-mm"))</x:f>
      </x:c>
      <x:c r="G400" s="16"/>
    </x:row>
    <x:row r="401">
      <x:c r="B401" s="14"/>
      <x:c r="C401" t="str">
        <x:f>IF(B401="","",TEXT(B401,"yyyy-mm"))</x:f>
      </x:c>
      <x:c r="G401" s="16"/>
    </x:row>
    <x:row r="402">
      <x:c r="B402" s="14"/>
      <x:c r="C402" t="str">
        <x:f>IF(B402="","",TEXT(B402,"yyyy-mm"))</x:f>
      </x:c>
      <x:c r="G402" s="16"/>
    </x:row>
    <x:row r="403">
      <x:c r="B403" s="14"/>
      <x:c r="C403" t="str">
        <x:f>IF(B403="","",TEXT(B403,"yyyy-mm"))</x:f>
      </x:c>
      <x:c r="G403" s="16"/>
    </x:row>
    <x:row r="404">
      <x:c r="B404" s="14"/>
      <x:c r="C404" t="str">
        <x:f>IF(B404="","",TEXT(B404,"yyyy-mm"))</x:f>
      </x:c>
      <x:c r="G404" s="16"/>
    </x:row>
    <x:row r="405">
      <x:c r="B405" s="14"/>
      <x:c r="C405" t="str">
        <x:f>IF(B405="","",TEXT(B405,"yyyy-mm"))</x:f>
      </x:c>
      <x:c r="G405" s="16"/>
    </x:row>
    <x:row r="406">
      <x:c r="B406" s="14"/>
      <x:c r="C406" t="str">
        <x:f>IF(B406="","",TEXT(B406,"yyyy-mm"))</x:f>
      </x:c>
      <x:c r="G406" s="16"/>
    </x:row>
    <x:row r="407">
      <x:c r="B407" s="14"/>
      <x:c r="C407" t="str">
        <x:f>IF(B407="","",TEXT(B407,"yyyy-mm"))</x:f>
      </x:c>
      <x:c r="G407" s="16"/>
    </x:row>
    <x:row r="408">
      <x:c r="B408" s="14"/>
      <x:c r="C408" t="str">
        <x:f>IF(B408="","",TEXT(B408,"yyyy-mm"))</x:f>
      </x:c>
      <x:c r="G408" s="16"/>
    </x:row>
    <x:row r="409">
      <x:c r="B409" s="14"/>
      <x:c r="C409" t="str">
        <x:f>IF(B409="","",TEXT(B409,"yyyy-mm"))</x:f>
      </x:c>
      <x:c r="G409" s="16"/>
    </x:row>
    <x:row r="410">
      <x:c r="B410" s="14"/>
      <x:c r="C410" t="str">
        <x:f>IF(B410="","",TEXT(B410,"yyyy-mm"))</x:f>
      </x:c>
      <x:c r="G410" s="16"/>
    </x:row>
    <x:row r="411">
      <x:c r="B411" s="14"/>
      <x:c r="C411" t="str">
        <x:f>IF(B411="","",TEXT(B411,"yyyy-mm"))</x:f>
      </x:c>
      <x:c r="G411" s="16"/>
    </x:row>
    <x:row r="412">
      <x:c r="B412" s="14"/>
      <x:c r="C412" t="str">
        <x:f>IF(B412="","",TEXT(B412,"yyyy-mm"))</x:f>
      </x:c>
      <x:c r="G412" s="16"/>
    </x:row>
    <x:row r="413">
      <x:c r="B413" s="14"/>
      <x:c r="C413" t="str">
        <x:f>IF(B413="","",TEXT(B413,"yyyy-mm"))</x:f>
      </x:c>
      <x:c r="G413" s="16"/>
    </x:row>
    <x:row r="414">
      <x:c r="B414" s="14"/>
      <x:c r="C414" t="str">
        <x:f>IF(B414="","",TEXT(B414,"yyyy-mm"))</x:f>
      </x:c>
      <x:c r="G414" s="16"/>
    </x:row>
    <x:row r="415">
      <x:c r="B415" s="14"/>
      <x:c r="C415" t="str">
        <x:f>IF(B415="","",TEXT(B415,"yyyy-mm"))</x:f>
      </x:c>
      <x:c r="G415" s="16"/>
    </x:row>
    <x:row r="416">
      <x:c r="B416" s="14"/>
      <x:c r="C416" t="str">
        <x:f>IF(B416="","",TEXT(B416,"yyyy-mm"))</x:f>
      </x:c>
      <x:c r="G416" s="16"/>
    </x:row>
    <x:row r="417">
      <x:c r="B417" s="14"/>
      <x:c r="C417" t="str">
        <x:f>IF(B417="","",TEXT(B417,"yyyy-mm"))</x:f>
      </x:c>
      <x:c r="G417" s="16"/>
    </x:row>
    <x:row r="418">
      <x:c r="B418" s="14"/>
      <x:c r="C418" t="str">
        <x:f>IF(B418="","",TEXT(B418,"yyyy-mm"))</x:f>
      </x:c>
      <x:c r="G418" s="16"/>
    </x:row>
    <x:row r="419">
      <x:c r="B419" s="14"/>
      <x:c r="C419" t="str">
        <x:f>IF(B419="","",TEXT(B419,"yyyy-mm"))</x:f>
      </x:c>
      <x:c r="G419" s="16"/>
    </x:row>
    <x:row r="420">
      <x:c r="B420" s="14"/>
      <x:c r="C420" t="str">
        <x:f>IF(B420="","",TEXT(B420,"yyyy-mm"))</x:f>
      </x:c>
      <x:c r="G420" s="16"/>
    </x:row>
    <x:row r="421">
      <x:c r="B421" s="14"/>
      <x:c r="C421" t="str">
        <x:f>IF(B421="","",TEXT(B421,"yyyy-mm"))</x:f>
      </x:c>
      <x:c r="G421" s="16"/>
    </x:row>
    <x:row r="422">
      <x:c r="B422" s="14"/>
      <x:c r="C422" t="str">
        <x:f>IF(B422="","",TEXT(B422,"yyyy-mm"))</x:f>
      </x:c>
      <x:c r="G422" s="16"/>
    </x:row>
    <x:row r="423">
      <x:c r="B423" s="14"/>
      <x:c r="C423" t="str">
        <x:f>IF(B423="","",TEXT(B423,"yyyy-mm"))</x:f>
      </x:c>
      <x:c r="G423" s="16"/>
    </x:row>
    <x:row r="424">
      <x:c r="B424" s="14"/>
      <x:c r="C424" t="str">
        <x:f>IF(B424="","",TEXT(B424,"yyyy-mm"))</x:f>
      </x:c>
      <x:c r="G424" s="16"/>
    </x:row>
    <x:row r="425">
      <x:c r="B425" s="14"/>
      <x:c r="C425" t="str">
        <x:f>IF(B425="","",TEXT(B425,"yyyy-mm"))</x:f>
      </x:c>
      <x:c r="G425" s="16"/>
    </x:row>
    <x:row r="426">
      <x:c r="B426" s="14"/>
      <x:c r="C426" t="str">
        <x:f>IF(B426="","",TEXT(B426,"yyyy-mm"))</x:f>
      </x:c>
      <x:c r="G426" s="16"/>
    </x:row>
    <x:row r="427">
      <x:c r="B427" s="14"/>
      <x:c r="C427" t="str">
        <x:f>IF(B427="","",TEXT(B427,"yyyy-mm"))</x:f>
      </x:c>
      <x:c r="G427" s="16"/>
    </x:row>
    <x:row r="428">
      <x:c r="B428" s="14"/>
      <x:c r="C428" t="str">
        <x:f>IF(B428="","",TEXT(B428,"yyyy-mm"))</x:f>
      </x:c>
      <x:c r="G428" s="16"/>
    </x:row>
    <x:row r="429">
      <x:c r="B429" s="14"/>
      <x:c r="C429" t="str">
        <x:f>IF(B429="","",TEXT(B429,"yyyy-mm"))</x:f>
      </x:c>
      <x:c r="G429" s="16"/>
    </x:row>
    <x:row r="430">
      <x:c r="B430" s="14"/>
      <x:c r="C430" t="str">
        <x:f>IF(B430="","",TEXT(B430,"yyyy-mm"))</x:f>
      </x:c>
      <x:c r="G430" s="16"/>
    </x:row>
    <x:row r="431">
      <x:c r="B431" s="14"/>
      <x:c r="C431" t="str">
        <x:f>IF(B431="","",TEXT(B431,"yyyy-mm"))</x:f>
      </x:c>
      <x:c r="G431" s="16"/>
    </x:row>
    <x:row r="432">
      <x:c r="B432" s="14"/>
      <x:c r="C432" t="str">
        <x:f>IF(B432="","",TEXT(B432,"yyyy-mm"))</x:f>
      </x:c>
      <x:c r="G432" s="16"/>
    </x:row>
    <x:row r="433">
      <x:c r="B433" s="14"/>
      <x:c r="C433" t="str">
        <x:f>IF(B433="","",TEXT(B433,"yyyy-mm"))</x:f>
      </x:c>
      <x:c r="G433" s="16"/>
    </x:row>
    <x:row r="434">
      <x:c r="B434" s="14"/>
      <x:c r="C434" t="str">
        <x:f>IF(B434="","",TEXT(B434,"yyyy-mm"))</x:f>
      </x:c>
      <x:c r="G434" s="16"/>
    </x:row>
    <x:row r="435">
      <x:c r="B435" s="14"/>
      <x:c r="C435" t="str">
        <x:f>IF(B435="","",TEXT(B435,"yyyy-mm"))</x:f>
      </x:c>
      <x:c r="G435" s="16"/>
    </x:row>
    <x:row r="436">
      <x:c r="B436" s="14"/>
      <x:c r="C436" t="str">
        <x:f>IF(B436="","",TEXT(B436,"yyyy-mm"))</x:f>
      </x:c>
      <x:c r="G436" s="16"/>
    </x:row>
    <x:row r="437">
      <x:c r="B437" s="14"/>
      <x:c r="C437" t="str">
        <x:f>IF(B437="","",TEXT(B437,"yyyy-mm"))</x:f>
      </x:c>
      <x:c r="G437" s="16"/>
    </x:row>
    <x:row r="438">
      <x:c r="B438" s="14"/>
      <x:c r="C438" t="str">
        <x:f>IF(B438="","",TEXT(B438,"yyyy-mm"))</x:f>
      </x:c>
      <x:c r="G438" s="16"/>
    </x:row>
    <x:row r="439">
      <x:c r="B439" s="14"/>
      <x:c r="C439" t="str">
        <x:f>IF(B439="","",TEXT(B439,"yyyy-mm"))</x:f>
      </x:c>
      <x:c r="G439" s="16"/>
    </x:row>
    <x:row r="440">
      <x:c r="B440" s="14"/>
      <x:c r="C440" t="str">
        <x:f>IF(B440="","",TEXT(B440,"yyyy-mm"))</x:f>
      </x:c>
      <x:c r="G440" s="16"/>
    </x:row>
    <x:row r="441">
      <x:c r="B441" s="14"/>
      <x:c r="C441" t="str">
        <x:f>IF(B441="","",TEXT(B441,"yyyy-mm"))</x:f>
      </x:c>
      <x:c r="G441" s="16"/>
    </x:row>
    <x:row r="442">
      <x:c r="B442" s="14"/>
      <x:c r="C442" t="str">
        <x:f>IF(B442="","",TEXT(B442,"yyyy-mm"))</x:f>
      </x:c>
      <x:c r="G442" s="16"/>
    </x:row>
    <x:row r="443">
      <x:c r="B443" s="14"/>
      <x:c r="C443" t="str">
        <x:f>IF(B443="","",TEXT(B443,"yyyy-mm"))</x:f>
      </x:c>
      <x:c r="G443" s="16"/>
    </x:row>
    <x:row r="444">
      <x:c r="B444" s="14"/>
      <x:c r="C444" t="str">
        <x:f>IF(B444="","",TEXT(B444,"yyyy-mm"))</x:f>
      </x:c>
      <x:c r="G444" s="16"/>
    </x:row>
    <x:row r="445">
      <x:c r="B445" s="14"/>
      <x:c r="C445" t="str">
        <x:f>IF(B445="","",TEXT(B445,"yyyy-mm"))</x:f>
      </x:c>
      <x:c r="G445" s="16"/>
    </x:row>
    <x:row r="446">
      <x:c r="B446" s="14"/>
      <x:c r="C446" t="str">
        <x:f>IF(B446="","",TEXT(B446,"yyyy-mm"))</x:f>
      </x:c>
      <x:c r="G446" s="16"/>
    </x:row>
    <x:row r="447">
      <x:c r="B447" s="14"/>
      <x:c r="C447" t="str">
        <x:f>IF(B447="","",TEXT(B447,"yyyy-mm"))</x:f>
      </x:c>
      <x:c r="G447" s="16"/>
    </x:row>
    <x:row r="448">
      <x:c r="B448" s="14"/>
      <x:c r="C448" t="str">
        <x:f>IF(B448="","",TEXT(B448,"yyyy-mm"))</x:f>
      </x:c>
      <x:c r="G448" s="16"/>
    </x:row>
    <x:row r="449">
      <x:c r="B449" s="14"/>
      <x:c r="C449" t="str">
        <x:f>IF(B449="","",TEXT(B449,"yyyy-mm"))</x:f>
      </x:c>
      <x:c r="G449" s="16"/>
    </x:row>
    <x:row r="450">
      <x:c r="B450" s="14"/>
      <x:c r="C450" t="str">
        <x:f>IF(B450="","",TEXT(B450,"yyyy-mm"))</x:f>
      </x:c>
      <x:c r="G450" s="16"/>
    </x:row>
    <x:row r="451">
      <x:c r="B451" s="14"/>
      <x:c r="C451" t="str">
        <x:f>IF(B451="","",TEXT(B451,"yyyy-mm"))</x:f>
      </x:c>
      <x:c r="G451" s="16"/>
    </x:row>
    <x:row r="452">
      <x:c r="B452" s="14"/>
      <x:c r="C452" t="str">
        <x:f>IF(B452="","",TEXT(B452,"yyyy-mm"))</x:f>
      </x:c>
      <x:c r="G452" s="16"/>
    </x:row>
    <x:row r="453">
      <x:c r="B453" s="14"/>
      <x:c r="C453" t="str">
        <x:f>IF(B453="","",TEXT(B453,"yyyy-mm"))</x:f>
      </x:c>
      <x:c r="G453" s="16"/>
    </x:row>
    <x:row r="454">
      <x:c r="B454" s="14"/>
      <x:c r="C454" t="str">
        <x:f>IF(B454="","",TEXT(B454,"yyyy-mm"))</x:f>
      </x:c>
      <x:c r="G454" s="16"/>
    </x:row>
    <x:row r="455">
      <x:c r="B455" s="14"/>
      <x:c r="C455" t="str">
        <x:f>IF(B455="","",TEXT(B455,"yyyy-mm"))</x:f>
      </x:c>
      <x:c r="G455" s="16"/>
    </x:row>
    <x:row r="456">
      <x:c r="B456" s="14"/>
      <x:c r="C456" t="str">
        <x:f>IF(B456="","",TEXT(B456,"yyyy-mm"))</x:f>
      </x:c>
      <x:c r="G456" s="16"/>
    </x:row>
    <x:row r="457">
      <x:c r="B457" s="14"/>
      <x:c r="C457" t="str">
        <x:f>IF(B457="","",TEXT(B457,"yyyy-mm"))</x:f>
      </x:c>
      <x:c r="G457" s="16"/>
    </x:row>
    <x:row r="458">
      <x:c r="B458" s="14"/>
      <x:c r="C458" t="str">
        <x:f>IF(B458="","",TEXT(B458,"yyyy-mm"))</x:f>
      </x:c>
      <x:c r="G458" s="16"/>
    </x:row>
    <x:row r="459">
      <x:c r="B459" s="14"/>
      <x:c r="C459" t="str">
        <x:f>IF(B459="","",TEXT(B459,"yyyy-mm"))</x:f>
      </x:c>
      <x:c r="G459" s="16"/>
    </x:row>
    <x:row r="460">
      <x:c r="B460" s="14"/>
      <x:c r="C460" t="str">
        <x:f>IF(B460="","",TEXT(B460,"yyyy-mm"))</x:f>
      </x:c>
      <x:c r="G460" s="16"/>
    </x:row>
    <x:row r="461">
      <x:c r="B461" s="14"/>
      <x:c r="C461" t="str">
        <x:f>IF(B461="","",TEXT(B461,"yyyy-mm"))</x:f>
      </x:c>
      <x:c r="G461" s="16"/>
    </x:row>
    <x:row r="462">
      <x:c r="B462" s="14"/>
      <x:c r="C462" t="str">
        <x:f>IF(B462="","",TEXT(B462,"yyyy-mm"))</x:f>
      </x:c>
      <x:c r="G462" s="16"/>
    </x:row>
    <x:row r="463">
      <x:c r="B463" s="14"/>
      <x:c r="C463" t="str">
        <x:f>IF(B463="","",TEXT(B463,"yyyy-mm"))</x:f>
      </x:c>
      <x:c r="G463" s="16"/>
    </x:row>
    <x:row r="464">
      <x:c r="B464" s="14"/>
      <x:c r="C464" t="str">
        <x:f>IF(B464="","",TEXT(B464,"yyyy-mm"))</x:f>
      </x:c>
      <x:c r="G464" s="16"/>
    </x:row>
    <x:row r="465">
      <x:c r="B465" s="14"/>
      <x:c r="C465" t="str">
        <x:f>IF(B465="","",TEXT(B465,"yyyy-mm"))</x:f>
      </x:c>
      <x:c r="G465" s="16"/>
    </x:row>
    <x:row r="466">
      <x:c r="B466" s="14"/>
      <x:c r="C466" t="str">
        <x:f>IF(B466="","",TEXT(B466,"yyyy-mm"))</x:f>
      </x:c>
      <x:c r="G466" s="16"/>
    </x:row>
    <x:row r="467">
      <x:c r="B467" s="14"/>
      <x:c r="C467" t="str">
        <x:f>IF(B467="","",TEXT(B467,"yyyy-mm"))</x:f>
      </x:c>
      <x:c r="G467" s="16"/>
    </x:row>
    <x:row r="468">
      <x:c r="B468" s="14"/>
      <x:c r="C468" t="str">
        <x:f>IF(B468="","",TEXT(B468,"yyyy-mm"))</x:f>
      </x:c>
      <x:c r="G468" s="16"/>
    </x:row>
    <x:row r="469">
      <x:c r="B469" s="14"/>
      <x:c r="C469" t="str">
        <x:f>IF(B469="","",TEXT(B469,"yyyy-mm"))</x:f>
      </x:c>
      <x:c r="G469" s="16"/>
    </x:row>
    <x:row r="470">
      <x:c r="B470" s="14"/>
      <x:c r="C470" t="str">
        <x:f>IF(B470="","",TEXT(B470,"yyyy-mm"))</x:f>
      </x:c>
      <x:c r="G470" s="16"/>
    </x:row>
    <x:row r="471">
      <x:c r="B471" s="14"/>
      <x:c r="C471" t="str">
        <x:f>IF(B471="","",TEXT(B471,"yyyy-mm"))</x:f>
      </x:c>
      <x:c r="G471" s="16"/>
    </x:row>
    <x:row r="472">
      <x:c r="B472" s="14"/>
      <x:c r="C472" t="str">
        <x:f>IF(B472="","",TEXT(B472,"yyyy-mm"))</x:f>
      </x:c>
      <x:c r="G472" s="16"/>
    </x:row>
    <x:row r="473">
      <x:c r="B473" s="14"/>
      <x:c r="C473" t="str">
        <x:f>IF(B473="","",TEXT(B473,"yyyy-mm"))</x:f>
      </x:c>
      <x:c r="G473" s="16"/>
    </x:row>
    <x:row r="474">
      <x:c r="B474" s="14"/>
      <x:c r="C474" t="str">
        <x:f>IF(B474="","",TEXT(B474,"yyyy-mm"))</x:f>
      </x:c>
      <x:c r="G474" s="16"/>
    </x:row>
    <x:row r="475">
      <x:c r="B475" s="14"/>
      <x:c r="C475" t="str">
        <x:f>IF(B475="","",TEXT(B475,"yyyy-mm"))</x:f>
      </x:c>
      <x:c r="G475" s="16"/>
    </x:row>
    <x:row r="476">
      <x:c r="B476" s="14"/>
      <x:c r="C476" t="str">
        <x:f>IF(B476="","",TEXT(B476,"yyyy-mm"))</x:f>
      </x:c>
      <x:c r="G476" s="16"/>
    </x:row>
    <x:row r="477">
      <x:c r="B477" s="14"/>
      <x:c r="C477" t="str">
        <x:f>IF(B477="","",TEXT(B477,"yyyy-mm"))</x:f>
      </x:c>
      <x:c r="G477" s="16"/>
    </x:row>
    <x:row r="478">
      <x:c r="B478" s="14"/>
      <x:c r="C478" t="str">
        <x:f>IF(B478="","",TEXT(B478,"yyyy-mm"))</x:f>
      </x:c>
      <x:c r="G478" s="16"/>
    </x:row>
    <x:row r="479">
      <x:c r="B479" s="14"/>
      <x:c r="C479" t="str">
        <x:f>IF(B479="","",TEXT(B479,"yyyy-mm"))</x:f>
      </x:c>
      <x:c r="G479" s="16"/>
    </x:row>
    <x:row r="480">
      <x:c r="B480" s="14"/>
      <x:c r="C480" t="str">
        <x:f>IF(B480="","",TEXT(B480,"yyyy-mm"))</x:f>
      </x:c>
      <x:c r="G480" s="16"/>
    </x:row>
    <x:row r="481">
      <x:c r="B481" s="14"/>
      <x:c r="C481" t="str">
        <x:f>IF(B481="","",TEXT(B481,"yyyy-mm"))</x:f>
      </x:c>
      <x:c r="G481" s="16"/>
    </x:row>
    <x:row r="482">
      <x:c r="B482" s="14"/>
      <x:c r="C482" t="str">
        <x:f>IF(B482="","",TEXT(B482,"yyyy-mm"))</x:f>
      </x:c>
      <x:c r="G482" s="16"/>
    </x:row>
    <x:row r="483">
      <x:c r="B483" s="14"/>
      <x:c r="C483" t="str">
        <x:f>IF(B483="","",TEXT(B483,"yyyy-mm"))</x:f>
      </x:c>
      <x:c r="G483" s="16"/>
    </x:row>
    <x:row r="484">
      <x:c r="B484" s="14"/>
      <x:c r="C484" t="str">
        <x:f>IF(B484="","",TEXT(B484,"yyyy-mm"))</x:f>
      </x:c>
      <x:c r="G484" s="16"/>
    </x:row>
    <x:row r="485">
      <x:c r="B485" s="14"/>
      <x:c r="C485" t="str">
        <x:f>IF(B485="","",TEXT(B485,"yyyy-mm"))</x:f>
      </x:c>
      <x:c r="G485" s="16"/>
    </x:row>
    <x:row r="486">
      <x:c r="B486" s="14"/>
      <x:c r="C486" t="str">
        <x:f>IF(B486="","",TEXT(B486,"yyyy-mm"))</x:f>
      </x:c>
      <x:c r="G486" s="16"/>
    </x:row>
    <x:row r="487">
      <x:c r="B487" s="14"/>
      <x:c r="C487" t="str">
        <x:f>IF(B487="","",TEXT(B487,"yyyy-mm"))</x:f>
      </x:c>
      <x:c r="G487" s="16"/>
    </x:row>
    <x:row r="488">
      <x:c r="B488" s="14"/>
      <x:c r="C488" t="str">
        <x:f>IF(B488="","",TEXT(B488,"yyyy-mm"))</x:f>
      </x:c>
      <x:c r="G488" s="16"/>
    </x:row>
    <x:row r="489">
      <x:c r="B489" s="14"/>
      <x:c r="C489" t="str">
        <x:f>IF(B489="","",TEXT(B489,"yyyy-mm"))</x:f>
      </x:c>
      <x:c r="G489" s="16"/>
    </x:row>
    <x:row r="490">
      <x:c r="B490" s="14"/>
      <x:c r="C490" t="str">
        <x:f>IF(B490="","",TEXT(B490,"yyyy-mm"))</x:f>
      </x:c>
      <x:c r="G490" s="16"/>
    </x:row>
    <x:row r="491">
      <x:c r="B491" s="14"/>
      <x:c r="C491" t="str">
        <x:f>IF(B491="","",TEXT(B491,"yyyy-mm"))</x:f>
      </x:c>
      <x:c r="G491" s="16"/>
    </x:row>
    <x:row r="492">
      <x:c r="B492" s="14"/>
      <x:c r="C492" t="str">
        <x:f>IF(B492="","",TEXT(B492,"yyyy-mm"))</x:f>
      </x:c>
      <x:c r="G492" s="16"/>
    </x:row>
    <x:row r="493">
      <x:c r="B493" s="14"/>
      <x:c r="C493" t="str">
        <x:f>IF(B493="","",TEXT(B493,"yyyy-mm"))</x:f>
      </x:c>
      <x:c r="G493" s="16"/>
    </x:row>
    <x:row r="494">
      <x:c r="B494" s="14"/>
      <x:c r="C494" t="str">
        <x:f>IF(B494="","",TEXT(B494,"yyyy-mm"))</x:f>
      </x:c>
      <x:c r="G494" s="16"/>
    </x:row>
    <x:row r="495">
      <x:c r="B495" s="14"/>
      <x:c r="C495" t="str">
        <x:f>IF(B495="","",TEXT(B495,"yyyy-mm"))</x:f>
      </x:c>
      <x:c r="G495" s="16"/>
    </x:row>
    <x:row r="496">
      <x:c r="B496" s="14"/>
      <x:c r="C496" t="str">
        <x:f>IF(B496="","",TEXT(B496,"yyyy-mm"))</x:f>
      </x:c>
      <x:c r="G496" s="16"/>
    </x:row>
    <x:row r="497">
      <x:c r="B497" s="14"/>
      <x:c r="C497" t="str">
        <x:f>IF(B497="","",TEXT(B497,"yyyy-mm"))</x:f>
      </x:c>
      <x:c r="G497" s="16"/>
    </x:row>
    <x:row r="498">
      <x:c r="B498" s="14"/>
      <x:c r="C498" t="str">
        <x:f>IF(B498="","",TEXT(B498,"yyyy-mm"))</x:f>
      </x:c>
      <x:c r="G498" s="16"/>
    </x:row>
    <x:row r="499">
      <x:c r="B499" s="14"/>
      <x:c r="C499" t="str">
        <x:f>IF(B499="","",TEXT(B499,"yyyy-mm"))</x:f>
      </x:c>
      <x:c r="G499" s="16"/>
    </x:row>
    <x:row r="500">
      <x:c r="B500" s="14"/>
      <x:c r="C500" t="str">
        <x:f>IF(B500="","",TEXT(B500,"yyyy-mm"))</x:f>
      </x:c>
      <x:c r="G500" s="16"/>
    </x:row>
    <x:row r="501">
      <x:c r="B501" s="14"/>
      <x:c r="C501" t="str">
        <x:f>IF(B501="","",TEXT(B501,"yyyy-mm"))</x:f>
      </x:c>
      <x:c r="G501" s="16"/>
    </x:row>
    <x:row r="502">
      <x:c r="B502" s="14"/>
      <x:c r="C502" t="str">
        <x:f>IF(B502="","",TEXT(B502,"yyyy-mm"))</x:f>
      </x:c>
      <x:c r="G502" s="16"/>
    </x:row>
    <x:row r="503">
      <x:c r="B503" s="14"/>
      <x:c r="C503" t="str">
        <x:f>IF(B503="","",TEXT(B503,"yyyy-mm"))</x:f>
      </x:c>
      <x:c r="G503" s="16"/>
    </x:row>
    <x:row r="504">
      <x:c r="B504" s="14"/>
      <x:c r="C504" t="str">
        <x:f>IF(B504="","",TEXT(B504,"yyyy-mm"))</x:f>
      </x:c>
      <x:c r="G504" s="16"/>
    </x:row>
    <x:row r="505">
      <x:c r="B505" s="14"/>
      <x:c r="C505" t="str">
        <x:f>IF(B505="","",TEXT(B505,"yyyy-mm"))</x:f>
      </x:c>
      <x:c r="G505" s="16"/>
    </x:row>
    <x:row r="506">
      <x:c r="B506" s="14"/>
      <x:c r="C506" t="str">
        <x:f>IF(B506="","",TEXT(B506,"yyyy-mm"))</x:f>
      </x:c>
      <x:c r="G506" s="16"/>
    </x:row>
    <x:row r="507">
      <x:c r="B507" s="14"/>
      <x:c r="C507" t="str">
        <x:f>IF(B507="","",TEXT(B507,"yyyy-mm"))</x:f>
      </x:c>
      <x:c r="G507" s="16"/>
    </x:row>
    <x:row r="508">
      <x:c r="B508" s="14"/>
      <x:c r="C508" t="str">
        <x:f>IF(B508="","",TEXT(B508,"yyyy-mm"))</x:f>
      </x:c>
      <x:c r="G508" s="16"/>
    </x:row>
    <x:row r="509">
      <x:c r="B509" s="14"/>
      <x:c r="C509" t="str">
        <x:f>IF(B509="","",TEXT(B509,"yyyy-mm"))</x:f>
      </x:c>
      <x:c r="G509" s="16"/>
    </x:row>
    <x:row r="510">
      <x:c r="B510" s="14"/>
      <x:c r="C510" t="str">
        <x:f>IF(B510="","",TEXT(B510,"yyyy-mm"))</x:f>
      </x:c>
      <x:c r="G510" s="16"/>
    </x:row>
    <x:row r="511">
      <x:c r="B511" s="14"/>
      <x:c r="C511" t="str">
        <x:f>IF(B511="","",TEXT(B511,"yyyy-mm"))</x:f>
      </x:c>
      <x:c r="G511" s="16"/>
    </x:row>
    <x:row r="512">
      <x:c r="B512" s="14"/>
      <x:c r="C512" t="str">
        <x:f>IF(B512="","",TEXT(B512,"yyyy-mm"))</x:f>
      </x:c>
      <x:c r="G512" s="16"/>
    </x:row>
    <x:row r="513">
      <x:c r="B513" s="14"/>
      <x:c r="C513" t="str">
        <x:f>IF(B513="","",TEXT(B513,"yyyy-mm"))</x:f>
      </x:c>
      <x:c r="G513" s="16"/>
    </x:row>
    <x:row r="514">
      <x:c r="B514" s="14"/>
      <x:c r="C514" t="str">
        <x:f>IF(B514="","",TEXT(B514,"yyyy-mm"))</x:f>
      </x:c>
      <x:c r="G514" s="16"/>
    </x:row>
    <x:row r="515">
      <x:c r="B515" s="14"/>
      <x:c r="C515" t="str">
        <x:f>IF(B515="","",TEXT(B515,"yyyy-mm"))</x:f>
      </x:c>
      <x:c r="G515" s="16"/>
    </x:row>
    <x:row r="516">
      <x:c r="B516" s="14"/>
      <x:c r="C516" t="str">
        <x:f>IF(B516="","",TEXT(B516,"yyyy-mm"))</x:f>
      </x:c>
      <x:c r="G516" s="16"/>
    </x:row>
    <x:row r="517">
      <x:c r="B517" s="14"/>
      <x:c r="C517" t="str">
        <x:f>IF(B517="","",TEXT(B517,"yyyy-mm"))</x:f>
      </x:c>
      <x:c r="G517" s="16"/>
    </x:row>
    <x:row r="518">
      <x:c r="B518" s="14"/>
      <x:c r="C518" t="str">
        <x:f>IF(B518="","",TEXT(B518,"yyyy-mm"))</x:f>
      </x:c>
      <x:c r="G518" s="16"/>
    </x:row>
    <x:row r="519">
      <x:c r="B519" s="14"/>
      <x:c r="C519" t="str">
        <x:f>IF(B519="","",TEXT(B519,"yyyy-mm"))</x:f>
      </x:c>
      <x:c r="G519" s="16"/>
    </x:row>
    <x:row r="520">
      <x:c r="B520" s="14"/>
      <x:c r="C520" t="str">
        <x:f>IF(B520="","",TEXT(B520,"yyyy-mm"))</x:f>
      </x:c>
      <x:c r="G520" s="16"/>
    </x:row>
    <x:row r="521">
      <x:c r="B521" s="14"/>
      <x:c r="C521" t="str">
        <x:f>IF(B521="","",TEXT(B521,"yyyy-mm"))</x:f>
      </x:c>
      <x:c r="G521" s="16"/>
    </x:row>
    <x:row r="522">
      <x:c r="B522" s="14"/>
      <x:c r="C522" t="str">
        <x:f>IF(B522="","",TEXT(B522,"yyyy-mm"))</x:f>
      </x:c>
      <x:c r="G522" s="16"/>
    </x:row>
    <x:row r="523">
      <x:c r="B523" s="14"/>
      <x:c r="C523" t="str">
        <x:f>IF(B523="","",TEXT(B523,"yyyy-mm"))</x:f>
      </x:c>
      <x:c r="G523" s="16"/>
    </x:row>
    <x:row r="524">
      <x:c r="B524" s="14"/>
      <x:c r="C524" t="str">
        <x:f>IF(B524="","",TEXT(B524,"yyyy-mm"))</x:f>
      </x:c>
      <x:c r="G524" s="16"/>
    </x:row>
    <x:row r="525">
      <x:c r="B525" s="14"/>
      <x:c r="C525" t="str">
        <x:f>IF(B525="","",TEXT(B525,"yyyy-mm"))</x:f>
      </x:c>
      <x:c r="G525" s="16"/>
    </x:row>
    <x:row r="526">
      <x:c r="B526" s="14"/>
      <x:c r="C526" t="str">
        <x:f>IF(B526="","",TEXT(B526,"yyyy-mm"))</x:f>
      </x:c>
      <x:c r="G526" s="16"/>
    </x:row>
    <x:row r="527">
      <x:c r="B527" s="14"/>
      <x:c r="C527" t="str">
        <x:f>IF(B527="","",TEXT(B527,"yyyy-mm"))</x:f>
      </x:c>
      <x:c r="G527" s="16"/>
    </x:row>
    <x:row r="528">
      <x:c r="B528" s="14"/>
      <x:c r="C528" t="str">
        <x:f>IF(B528="","",TEXT(B528,"yyyy-mm"))</x:f>
      </x:c>
      <x:c r="G528" s="16"/>
    </x:row>
    <x:row r="529">
      <x:c r="B529" s="14"/>
      <x:c r="C529" t="str">
        <x:f>IF(B529="","",TEXT(B529,"yyyy-mm"))</x:f>
      </x:c>
      <x:c r="G529" s="16"/>
    </x:row>
    <x:row r="530">
      <x:c r="B530" s="14"/>
      <x:c r="C530" t="str">
        <x:f>IF(B530="","",TEXT(B530,"yyyy-mm"))</x:f>
      </x:c>
      <x:c r="G530" s="16"/>
    </x:row>
    <x:row r="531">
      <x:c r="B531" s="14"/>
      <x:c r="C531" t="str">
        <x:f>IF(B531="","",TEXT(B531,"yyyy-mm"))</x:f>
      </x:c>
      <x:c r="G531" s="16"/>
    </x:row>
    <x:row r="532">
      <x:c r="B532" s="14"/>
      <x:c r="C532" t="str">
        <x:f>IF(B532="","",TEXT(B532,"yyyy-mm"))</x:f>
      </x:c>
      <x:c r="G532" s="16"/>
    </x:row>
    <x:row r="533">
      <x:c r="B533" s="14"/>
      <x:c r="C533" t="str">
        <x:f>IF(B533="","",TEXT(B533,"yyyy-mm"))</x:f>
      </x:c>
      <x:c r="G533" s="16"/>
    </x:row>
    <x:row r="534">
      <x:c r="B534" s="14"/>
      <x:c r="C534" t="str">
        <x:f>IF(B534="","",TEXT(B534,"yyyy-mm"))</x:f>
      </x:c>
      <x:c r="G534" s="16"/>
    </x:row>
    <x:row r="535">
      <x:c r="B535" s="14"/>
      <x:c r="C535" t="str">
        <x:f>IF(B535="","",TEXT(B535,"yyyy-mm"))</x:f>
      </x:c>
      <x:c r="G535" s="16"/>
    </x:row>
    <x:row r="536">
      <x:c r="B536" s="14"/>
      <x:c r="C536" t="str">
        <x:f>IF(B536="","",TEXT(B536,"yyyy-mm"))</x:f>
      </x:c>
      <x:c r="G536" s="16"/>
    </x:row>
    <x:row r="537">
      <x:c r="B537" s="14"/>
      <x:c r="C537" t="str">
        <x:f>IF(B537="","",TEXT(B537,"yyyy-mm"))</x:f>
      </x:c>
      <x:c r="G537" s="16"/>
    </x:row>
    <x:row r="538">
      <x:c r="B538" s="14"/>
      <x:c r="C538" t="str">
        <x:f>IF(B538="","",TEXT(B538,"yyyy-mm"))</x:f>
      </x:c>
      <x:c r="G538" s="16"/>
    </x:row>
    <x:row r="539">
      <x:c r="B539" s="14"/>
      <x:c r="C539" t="str">
        <x:f>IF(B539="","",TEXT(B539,"yyyy-mm"))</x:f>
      </x:c>
      <x:c r="G539" s="16"/>
    </x:row>
    <x:row r="540">
      <x:c r="B540" s="14"/>
      <x:c r="C540" t="str">
        <x:f>IF(B540="","",TEXT(B540,"yyyy-mm"))</x:f>
      </x:c>
      <x:c r="G540" s="16"/>
    </x:row>
    <x:row r="541">
      <x:c r="B541" s="14"/>
      <x:c r="C541" t="str">
        <x:f>IF(B541="","",TEXT(B541,"yyyy-mm"))</x:f>
      </x:c>
      <x:c r="G541" s="16"/>
    </x:row>
    <x:row r="542">
      <x:c r="B542" s="14"/>
      <x:c r="C542" t="str">
        <x:f>IF(B542="","",TEXT(B542,"yyyy-mm"))</x:f>
      </x:c>
      <x:c r="G542" s="16"/>
    </x:row>
    <x:row r="543">
      <x:c r="B543" s="14"/>
      <x:c r="C543" t="str">
        <x:f>IF(B543="","",TEXT(B543,"yyyy-mm"))</x:f>
      </x:c>
      <x:c r="G543" s="16"/>
    </x:row>
    <x:row r="544">
      <x:c r="B544" s="14"/>
      <x:c r="C544" t="str">
        <x:f>IF(B544="","",TEXT(B544,"yyyy-mm"))</x:f>
      </x:c>
      <x:c r="G544" s="16"/>
    </x:row>
    <x:row r="545">
      <x:c r="B545" s="14"/>
      <x:c r="C545" t="str">
        <x:f>IF(B545="","",TEXT(B545,"yyyy-mm"))</x:f>
      </x:c>
      <x:c r="G545" s="16"/>
    </x:row>
    <x:row r="546">
      <x:c r="B546" s="14"/>
      <x:c r="C546" t="str">
        <x:f>IF(B546="","",TEXT(B546,"yyyy-mm"))</x:f>
      </x:c>
      <x:c r="G546" s="16"/>
    </x:row>
    <x:row r="547">
      <x:c r="B547" s="14"/>
      <x:c r="C547" t="str">
        <x:f>IF(B547="","",TEXT(B547,"yyyy-mm"))</x:f>
      </x:c>
      <x:c r="G547" s="16"/>
    </x:row>
    <x:row r="548">
      <x:c r="B548" s="14"/>
      <x:c r="C548" t="str">
        <x:f>IF(B548="","",TEXT(B548,"yyyy-mm"))</x:f>
      </x:c>
      <x:c r="G548" s="16"/>
    </x:row>
    <x:row r="549">
      <x:c r="B549" s="14"/>
      <x:c r="C549" t="str">
        <x:f>IF(B549="","",TEXT(B549,"yyyy-mm"))</x:f>
      </x:c>
      <x:c r="G549" s="16"/>
    </x:row>
    <x:row r="550">
      <x:c r="B550" s="14"/>
      <x:c r="C550" t="str">
        <x:f>IF(B550="","",TEXT(B550,"yyyy-mm"))</x:f>
      </x:c>
      <x:c r="G550" s="16"/>
    </x:row>
    <x:row r="551">
      <x:c r="B551" s="14"/>
      <x:c r="C551" t="str">
        <x:f>IF(B551="","",TEXT(B551,"yyyy-mm"))</x:f>
      </x:c>
      <x:c r="G551" s="16"/>
    </x:row>
    <x:row r="552">
      <x:c r="B552" s="14"/>
      <x:c r="C552" t="str">
        <x:f>IF(B552="","",TEXT(B552,"yyyy-mm"))</x:f>
      </x:c>
      <x:c r="G552" s="16"/>
    </x:row>
    <x:row r="553">
      <x:c r="B553" s="14"/>
      <x:c r="C553" t="str">
        <x:f>IF(B553="","",TEXT(B553,"yyyy-mm"))</x:f>
      </x:c>
      <x:c r="G553" s="16"/>
    </x:row>
    <x:row r="554">
      <x:c r="B554" s="14"/>
      <x:c r="C554" t="str">
        <x:f>IF(B554="","",TEXT(B554,"yyyy-mm"))</x:f>
      </x:c>
      <x:c r="G554" s="16"/>
    </x:row>
    <x:row r="555">
      <x:c r="B555" s="14"/>
      <x:c r="C555" t="str">
        <x:f>IF(B555="","",TEXT(B555,"yyyy-mm"))</x:f>
      </x:c>
      <x:c r="G555" s="16"/>
    </x:row>
    <x:row r="556">
      <x:c r="B556" s="14"/>
      <x:c r="C556" t="str">
        <x:f>IF(B556="","",TEXT(B556,"yyyy-mm"))</x:f>
      </x:c>
      <x:c r="G556" s="16"/>
    </x:row>
    <x:row r="557">
      <x:c r="B557" s="14"/>
      <x:c r="C557" t="str">
        <x:f>IF(B557="","",TEXT(B557,"yyyy-mm"))</x:f>
      </x:c>
      <x:c r="G557" s="16"/>
    </x:row>
    <x:row r="558">
      <x:c r="B558" s="14"/>
      <x:c r="C558" t="str">
        <x:f>IF(B558="","",TEXT(B558,"yyyy-mm"))</x:f>
      </x:c>
      <x:c r="G558" s="16"/>
    </x:row>
    <x:row r="559">
      <x:c r="B559" s="14"/>
      <x:c r="C559" t="str">
        <x:f>IF(B559="","",TEXT(B559,"yyyy-mm"))</x:f>
      </x:c>
      <x:c r="G559" s="16"/>
    </x:row>
    <x:row r="560">
      <x:c r="B560" s="14"/>
      <x:c r="C560" t="str">
        <x:f>IF(B560="","",TEXT(B560,"yyyy-mm"))</x:f>
      </x:c>
      <x:c r="G560" s="16"/>
    </x:row>
    <x:row r="561">
      <x:c r="B561" s="14"/>
      <x:c r="C561" t="str">
        <x:f>IF(B561="","",TEXT(B561,"yyyy-mm"))</x:f>
      </x:c>
      <x:c r="G561" s="16"/>
    </x:row>
    <x:row r="562">
      <x:c r="B562" s="14"/>
      <x:c r="C562" t="str">
        <x:f>IF(B562="","",TEXT(B562,"yyyy-mm"))</x:f>
      </x:c>
      <x:c r="G562" s="16"/>
    </x:row>
    <x:row r="563">
      <x:c r="B563" s="14"/>
      <x:c r="C563" t="str">
        <x:f>IF(B563="","",TEXT(B563,"yyyy-mm"))</x:f>
      </x:c>
      <x:c r="G563" s="16"/>
    </x:row>
    <x:row r="564">
      <x:c r="B564" s="14"/>
      <x:c r="C564" t="str">
        <x:f>IF(B564="","",TEXT(B564,"yyyy-mm"))</x:f>
      </x:c>
      <x:c r="G564" s="16"/>
    </x:row>
    <x:row r="565">
      <x:c r="B565" s="14"/>
      <x:c r="C565" t="str">
        <x:f>IF(B565="","",TEXT(B565,"yyyy-mm"))</x:f>
      </x:c>
      <x:c r="G565" s="16"/>
    </x:row>
    <x:row r="566">
      <x:c r="B566" s="14"/>
      <x:c r="C566" t="str">
        <x:f>IF(B566="","",TEXT(B566,"yyyy-mm"))</x:f>
      </x:c>
      <x:c r="G566" s="16"/>
    </x:row>
    <x:row r="567">
      <x:c r="B567" s="14"/>
      <x:c r="C567" t="str">
        <x:f>IF(B567="","",TEXT(B567,"yyyy-mm"))</x:f>
      </x:c>
      <x:c r="G567" s="16"/>
    </x:row>
    <x:row r="568">
      <x:c r="B568" s="14"/>
      <x:c r="C568" t="str">
        <x:f>IF(B568="","",TEXT(B568,"yyyy-mm"))</x:f>
      </x:c>
      <x:c r="G568" s="16"/>
    </x:row>
    <x:row r="569">
      <x:c r="B569" s="14"/>
      <x:c r="C569" t="str">
        <x:f>IF(B569="","",TEXT(B569,"yyyy-mm"))</x:f>
      </x:c>
      <x:c r="G569" s="16"/>
    </x:row>
    <x:row r="570">
      <x:c r="B570" s="14"/>
      <x:c r="C570" t="str">
        <x:f>IF(B570="","",TEXT(B570,"yyyy-mm"))</x:f>
      </x:c>
      <x:c r="G570" s="16"/>
    </x:row>
    <x:row r="571">
      <x:c r="B571" s="14"/>
      <x:c r="C571" t="str">
        <x:f>IF(B571="","",TEXT(B571,"yyyy-mm"))</x:f>
      </x:c>
      <x:c r="G571" s="16"/>
    </x:row>
    <x:row r="572">
      <x:c r="B572" s="14"/>
      <x:c r="C572" t="str">
        <x:f>IF(B572="","",TEXT(B572,"yyyy-mm"))</x:f>
      </x:c>
      <x:c r="G572" s="16"/>
    </x:row>
    <x:row r="573">
      <x:c r="B573" s="14"/>
      <x:c r="C573" t="str">
        <x:f>IF(B573="","",TEXT(B573,"yyyy-mm"))</x:f>
      </x:c>
      <x:c r="G573" s="16"/>
    </x:row>
    <x:row r="574">
      <x:c r="B574" s="14"/>
      <x:c r="C574" t="str">
        <x:f>IF(B574="","",TEXT(B574,"yyyy-mm"))</x:f>
      </x:c>
      <x:c r="G574" s="16"/>
    </x:row>
    <x:row r="575">
      <x:c r="B575" s="14"/>
      <x:c r="C575" t="str">
        <x:f>IF(B575="","",TEXT(B575,"yyyy-mm"))</x:f>
      </x:c>
      <x:c r="G575" s="16"/>
    </x:row>
    <x:row r="576">
      <x:c r="B576" s="14"/>
      <x:c r="C576" t="str">
        <x:f>IF(B576="","",TEXT(B576,"yyyy-mm"))</x:f>
      </x:c>
      <x:c r="G576" s="16"/>
    </x:row>
    <x:row r="577">
      <x:c r="B577" s="14"/>
      <x:c r="C577" t="str">
        <x:f>IF(B577="","",TEXT(B577,"yyyy-mm"))</x:f>
      </x:c>
      <x:c r="G577" s="16"/>
    </x:row>
    <x:row r="578">
      <x:c r="B578" s="14"/>
      <x:c r="C578" t="str">
        <x:f>IF(B578="","",TEXT(B578,"yyyy-mm"))</x:f>
      </x:c>
      <x:c r="G578" s="16"/>
    </x:row>
    <x:row r="579">
      <x:c r="B579" s="14"/>
      <x:c r="C579" t="str">
        <x:f>IF(B579="","",TEXT(B579,"yyyy-mm"))</x:f>
      </x:c>
      <x:c r="G579" s="16"/>
    </x:row>
    <x:row r="580">
      <x:c r="B580" s="14"/>
      <x:c r="C580" t="str">
        <x:f>IF(B580="","",TEXT(B580,"yyyy-mm"))</x:f>
      </x:c>
      <x:c r="G580" s="16"/>
    </x:row>
    <x:row r="581">
      <x:c r="B581" s="14"/>
      <x:c r="C581" t="str">
        <x:f>IF(B581="","",TEXT(B581,"yyyy-mm"))</x:f>
      </x:c>
      <x:c r="G581" s="16"/>
    </x:row>
    <x:row r="582">
      <x:c r="B582" s="14"/>
      <x:c r="C582" t="str">
        <x:f>IF(B582="","",TEXT(B582,"yyyy-mm"))</x:f>
      </x:c>
      <x:c r="G582" s="16"/>
    </x:row>
    <x:row r="583">
      <x:c r="B583" s="14"/>
      <x:c r="C583" t="str">
        <x:f>IF(B583="","",TEXT(B583,"yyyy-mm"))</x:f>
      </x:c>
      <x:c r="G583" s="16"/>
    </x:row>
    <x:row r="584">
      <x:c r="B584" s="14"/>
      <x:c r="C584" t="str">
        <x:f>IF(B584="","",TEXT(B584,"yyyy-mm"))</x:f>
      </x:c>
      <x:c r="G584" s="16"/>
    </x:row>
    <x:row r="585">
      <x:c r="B585" s="14"/>
      <x:c r="C585" t="str">
        <x:f>IF(B585="","",TEXT(B585,"yyyy-mm"))</x:f>
      </x:c>
      <x:c r="G585" s="16"/>
    </x:row>
    <x:row r="586">
      <x:c r="B586" s="14"/>
      <x:c r="C586" t="str">
        <x:f>IF(B586="","",TEXT(B586,"yyyy-mm"))</x:f>
      </x:c>
      <x:c r="G586" s="16"/>
    </x:row>
    <x:row r="587">
      <x:c r="B587" s="14"/>
      <x:c r="C587" t="str">
        <x:f>IF(B587="","",TEXT(B587,"yyyy-mm"))</x:f>
      </x:c>
      <x:c r="G587" s="16"/>
    </x:row>
    <x:row r="588">
      <x:c r="B588" s="14"/>
      <x:c r="C588" t="str">
        <x:f>IF(B588="","",TEXT(B588,"yyyy-mm"))</x:f>
      </x:c>
      <x:c r="G588" s="16"/>
    </x:row>
    <x:row r="589">
      <x:c r="B589" s="14"/>
      <x:c r="C589" t="str">
        <x:f>IF(B589="","",TEXT(B589,"yyyy-mm"))</x:f>
      </x:c>
      <x:c r="G589" s="16"/>
    </x:row>
    <x:row r="590">
      <x:c r="B590" s="14"/>
      <x:c r="C590" t="str">
        <x:f>IF(B590="","",TEXT(B590,"yyyy-mm"))</x:f>
      </x:c>
      <x:c r="G590" s="16"/>
    </x:row>
    <x:row r="591">
      <x:c r="B591" s="14"/>
      <x:c r="C591" t="str">
        <x:f>IF(B591="","",TEXT(B591,"yyyy-mm"))</x:f>
      </x:c>
      <x:c r="G591" s="16"/>
    </x:row>
    <x:row r="592">
      <x:c r="B592" s="14"/>
      <x:c r="C592" t="str">
        <x:f>IF(B592="","",TEXT(B592,"yyyy-mm"))</x:f>
      </x:c>
      <x:c r="G592" s="16"/>
    </x:row>
    <x:row r="593">
      <x:c r="B593" s="14"/>
      <x:c r="C593" t="str">
        <x:f>IF(B593="","",TEXT(B593,"yyyy-mm"))</x:f>
      </x:c>
      <x:c r="G593" s="16"/>
    </x:row>
    <x:row r="594">
      <x:c r="B594" s="14"/>
      <x:c r="C594" t="str">
        <x:f>IF(B594="","",TEXT(B594,"yyyy-mm"))</x:f>
      </x:c>
      <x:c r="G594" s="16"/>
    </x:row>
    <x:row r="595">
      <x:c r="B595" s="14"/>
      <x:c r="C595" t="str">
        <x:f>IF(B595="","",TEXT(B595,"yyyy-mm"))</x:f>
      </x:c>
      <x:c r="G595" s="16"/>
    </x:row>
    <x:row r="596">
      <x:c r="B596" s="14"/>
      <x:c r="C596" t="str">
        <x:f>IF(B596="","",TEXT(B596,"yyyy-mm"))</x:f>
      </x:c>
      <x:c r="G596" s="16"/>
    </x:row>
    <x:row r="597">
      <x:c r="B597" s="14"/>
      <x:c r="C597" t="str">
        <x:f>IF(B597="","",TEXT(B597,"yyyy-mm"))</x:f>
      </x:c>
      <x:c r="G597" s="16"/>
    </x:row>
    <x:row r="598">
      <x:c r="B598" s="14"/>
      <x:c r="C598" t="str">
        <x:f>IF(B598="","",TEXT(B598,"yyyy-mm"))</x:f>
      </x:c>
      <x:c r="G598" s="16"/>
    </x:row>
    <x:row r="599">
      <x:c r="B599" s="14"/>
      <x:c r="C599" t="str">
        <x:f>IF(B599="","",TEXT(B599,"yyyy-mm"))</x:f>
      </x:c>
      <x:c r="G599" s="16"/>
    </x:row>
    <x:row r="600">
      <x:c r="B600" s="14"/>
      <x:c r="C600" t="str">
        <x:f>IF(B600="","",TEXT(B600,"yyyy-mm"))</x:f>
      </x:c>
      <x:c r="G600" s="16"/>
    </x:row>
    <x:row r="601">
      <x:c r="B601" s="14"/>
      <x:c r="C601" t="str">
        <x:f>IF(B601="","",TEXT(B601,"yyyy-mm"))</x:f>
      </x:c>
      <x:c r="G601" s="16"/>
    </x:row>
    <x:row r="602">
      <x:c r="B602" s="14"/>
      <x:c r="C602" t="str">
        <x:f>IF(B602="","",TEXT(B602,"yyyy-mm"))</x:f>
      </x:c>
      <x:c r="G602" s="16"/>
    </x:row>
    <x:row r="603">
      <x:c r="B603" s="14"/>
      <x:c r="C603" t="str">
        <x:f>IF(B603="","",TEXT(B603,"yyyy-mm"))</x:f>
      </x:c>
      <x:c r="G603" s="16"/>
    </x:row>
    <x:row r="604">
      <x:c r="B604" s="14"/>
      <x:c r="C604" t="str">
        <x:f>IF(B604="","",TEXT(B604,"yyyy-mm"))</x:f>
      </x:c>
      <x:c r="G604" s="16"/>
    </x:row>
    <x:row r="605">
      <x:c r="B605" s="14"/>
      <x:c r="C605" t="str">
        <x:f>IF(B605="","",TEXT(B605,"yyyy-mm"))</x:f>
      </x:c>
      <x:c r="G605" s="16"/>
    </x:row>
    <x:row r="606">
      <x:c r="B606" s="14"/>
      <x:c r="C606" t="str">
        <x:f>IF(B606="","",TEXT(B606,"yyyy-mm"))</x:f>
      </x:c>
      <x:c r="G606" s="16"/>
    </x:row>
    <x:row r="607">
      <x:c r="B607" s="14"/>
      <x:c r="C607" t="str">
        <x:f>IF(B607="","",TEXT(B607,"yyyy-mm"))</x:f>
      </x:c>
      <x:c r="G607" s="16"/>
    </x:row>
    <x:row r="608">
      <x:c r="B608" s="14"/>
      <x:c r="C608" t="str">
        <x:f>IF(B608="","",TEXT(B608,"yyyy-mm"))</x:f>
      </x:c>
      <x:c r="G608" s="16"/>
    </x:row>
    <x:row r="609">
      <x:c r="B609" s="14"/>
      <x:c r="C609" t="str">
        <x:f>IF(B609="","",TEXT(B609,"yyyy-mm"))</x:f>
      </x:c>
      <x:c r="G609" s="16"/>
    </x:row>
    <x:row r="610">
      <x:c r="B610" s="14"/>
      <x:c r="C610" t="str">
        <x:f>IF(B610="","",TEXT(B610,"yyyy-mm"))</x:f>
      </x:c>
      <x:c r="G610" s="16"/>
    </x:row>
    <x:row r="611">
      <x:c r="B611" s="14"/>
      <x:c r="C611" t="str">
        <x:f>IF(B611="","",TEXT(B611,"yyyy-mm"))</x:f>
      </x:c>
      <x:c r="G611" s="16"/>
    </x:row>
    <x:row r="612">
      <x:c r="B612" s="14"/>
      <x:c r="C612" t="str">
        <x:f>IF(B612="","",TEXT(B612,"yyyy-mm"))</x:f>
      </x:c>
      <x:c r="G612" s="16"/>
    </x:row>
    <x:row r="613">
      <x:c r="B613" s="14"/>
      <x:c r="C613" t="str">
        <x:f>IF(B613="","",TEXT(B613,"yyyy-mm"))</x:f>
      </x:c>
      <x:c r="G613" s="16"/>
    </x:row>
    <x:row r="614">
      <x:c r="B614" s="14"/>
      <x:c r="C614" t="str">
        <x:f>IF(B614="","",TEXT(B614,"yyyy-mm"))</x:f>
      </x:c>
      <x:c r="G614" s="16"/>
    </x:row>
    <x:row r="615">
      <x:c r="B615" s="14"/>
      <x:c r="C615" t="str">
        <x:f>IF(B615="","",TEXT(B615,"yyyy-mm"))</x:f>
      </x:c>
      <x:c r="G615" s="16"/>
    </x:row>
    <x:row r="616">
      <x:c r="B616" s="14"/>
      <x:c r="C616" t="str">
        <x:f>IF(B616="","",TEXT(B616,"yyyy-mm"))</x:f>
      </x:c>
      <x:c r="G616" s="16"/>
    </x:row>
    <x:row r="617">
      <x:c r="B617" s="14"/>
      <x:c r="C617" t="str">
        <x:f>IF(B617="","",TEXT(B617,"yyyy-mm"))</x:f>
      </x:c>
      <x:c r="G617" s="16"/>
    </x:row>
    <x:row r="618">
      <x:c r="B618" s="14"/>
      <x:c r="C618" t="str">
        <x:f>IF(B618="","",TEXT(B618,"yyyy-mm"))</x:f>
      </x:c>
      <x:c r="G618" s="16"/>
    </x:row>
    <x:row r="619">
      <x:c r="B619" s="14"/>
      <x:c r="C619" t="str">
        <x:f>IF(B619="","",TEXT(B619,"yyyy-mm"))</x:f>
      </x:c>
      <x:c r="G619" s="16"/>
    </x:row>
    <x:row r="620">
      <x:c r="B620" s="14"/>
      <x:c r="C620" t="str">
        <x:f>IF(B620="","",TEXT(B620,"yyyy-mm"))</x:f>
      </x:c>
      <x:c r="G620" s="16"/>
    </x:row>
    <x:row r="621">
      <x:c r="B621" s="14"/>
      <x:c r="C621" t="str">
        <x:f>IF(B621="","",TEXT(B621,"yyyy-mm"))</x:f>
      </x:c>
      <x:c r="G621" s="16"/>
    </x:row>
    <x:row r="622">
      <x:c r="B622" s="14"/>
      <x:c r="C622" t="str">
        <x:f>IF(B622="","",TEXT(B622,"yyyy-mm"))</x:f>
      </x:c>
      <x:c r="G622" s="16"/>
    </x:row>
    <x:row r="623">
      <x:c r="B623" s="14"/>
      <x:c r="C623" t="str">
        <x:f>IF(B623="","",TEXT(B623,"yyyy-mm"))</x:f>
      </x:c>
      <x:c r="G623" s="16"/>
    </x:row>
    <x:row r="624">
      <x:c r="B624" s="14"/>
      <x:c r="C624" t="str">
        <x:f>IF(B624="","",TEXT(B624,"yyyy-mm"))</x:f>
      </x:c>
      <x:c r="G624" s="16"/>
    </x:row>
    <x:row r="625">
      <x:c r="B625" s="14"/>
      <x:c r="C625" t="str">
        <x:f>IF(B625="","",TEXT(B625,"yyyy-mm"))</x:f>
      </x:c>
      <x:c r="G625" s="16"/>
    </x:row>
    <x:row r="626">
      <x:c r="B626" s="14"/>
      <x:c r="C626" t="str">
        <x:f>IF(B626="","",TEXT(B626,"yyyy-mm"))</x:f>
      </x:c>
      <x:c r="G626" s="16"/>
    </x:row>
    <x:row r="627">
      <x:c r="B627" s="14"/>
      <x:c r="C627" t="str">
        <x:f>IF(B627="","",TEXT(B627,"yyyy-mm"))</x:f>
      </x:c>
      <x:c r="G627" s="16"/>
    </x:row>
    <x:row r="628">
      <x:c r="B628" s="14"/>
      <x:c r="C628" t="str">
        <x:f>IF(B628="","",TEXT(B628,"yyyy-mm"))</x:f>
      </x:c>
      <x:c r="G628" s="16"/>
    </x:row>
    <x:row r="629">
      <x:c r="B629" s="14"/>
      <x:c r="C629" t="str">
        <x:f>IF(B629="","",TEXT(B629,"yyyy-mm"))</x:f>
      </x:c>
      <x:c r="G629" s="16"/>
    </x:row>
    <x:row r="630">
      <x:c r="B630" s="14"/>
      <x:c r="C630" t="str">
        <x:f>IF(B630="","",TEXT(B630,"yyyy-mm"))</x:f>
      </x:c>
      <x:c r="G630" s="16"/>
    </x:row>
    <x:row r="631">
      <x:c r="B631" s="14"/>
      <x:c r="C631" t="str">
        <x:f>IF(B631="","",TEXT(B631,"yyyy-mm"))</x:f>
      </x:c>
      <x:c r="G631" s="16"/>
    </x:row>
    <x:row r="632">
      <x:c r="B632" s="14"/>
      <x:c r="C632" t="str">
        <x:f>IF(B632="","",TEXT(B632,"yyyy-mm"))</x:f>
      </x:c>
      <x:c r="G632" s="16"/>
    </x:row>
    <x:row r="633">
      <x:c r="B633" s="14"/>
      <x:c r="C633" t="str">
        <x:f>IF(B633="","",TEXT(B633,"yyyy-mm"))</x:f>
      </x:c>
      <x:c r="G633" s="16"/>
    </x:row>
    <x:row r="634">
      <x:c r="B634" s="14"/>
      <x:c r="C634" t="str">
        <x:f>IF(B634="","",TEXT(B634,"yyyy-mm"))</x:f>
      </x:c>
      <x:c r="G634" s="16"/>
    </x:row>
    <x:row r="635">
      <x:c r="B635" s="14"/>
      <x:c r="C635" t="str">
        <x:f>IF(B635="","",TEXT(B635,"yyyy-mm"))</x:f>
      </x:c>
      <x:c r="G635" s="16"/>
    </x:row>
    <x:row r="636">
      <x:c r="B636" s="14"/>
      <x:c r="C636" t="str">
        <x:f>IF(B636="","",TEXT(B636,"yyyy-mm"))</x:f>
      </x:c>
      <x:c r="G636" s="16"/>
    </x:row>
    <x:row r="637">
      <x:c r="B637" s="14"/>
      <x:c r="C637" t="str">
        <x:f>IF(B637="","",TEXT(B637,"yyyy-mm"))</x:f>
      </x:c>
      <x:c r="G637" s="16"/>
    </x:row>
    <x:row r="638">
      <x:c r="B638" s="14"/>
      <x:c r="C638" t="str">
        <x:f>IF(B638="","",TEXT(B638,"yyyy-mm"))</x:f>
      </x:c>
      <x:c r="G638" s="16"/>
    </x:row>
    <x:row r="639">
      <x:c r="B639" s="14"/>
      <x:c r="C639" t="str">
        <x:f>IF(B639="","",TEXT(B639,"yyyy-mm"))</x:f>
      </x:c>
      <x:c r="G639" s="16"/>
    </x:row>
    <x:row r="640">
      <x:c r="B640" s="14"/>
      <x:c r="C640" t="str">
        <x:f>IF(B640="","",TEXT(B640,"yyyy-mm"))</x:f>
      </x:c>
      <x:c r="G640" s="16"/>
    </x:row>
    <x:row r="641">
      <x:c r="B641" s="14"/>
      <x:c r="C641" t="str">
        <x:f>IF(B641="","",TEXT(B641,"yyyy-mm"))</x:f>
      </x:c>
      <x:c r="G641" s="16"/>
    </x:row>
    <x:row r="642">
      <x:c r="B642" s="14"/>
      <x:c r="C642" t="str">
        <x:f>IF(B642="","",TEXT(B642,"yyyy-mm"))</x:f>
      </x:c>
      <x:c r="G642" s="16"/>
    </x:row>
    <x:row r="643">
      <x:c r="B643" s="14"/>
      <x:c r="C643" t="str">
        <x:f>IF(B643="","",TEXT(B643,"yyyy-mm"))</x:f>
      </x:c>
      <x:c r="G643" s="16"/>
    </x:row>
    <x:row r="644">
      <x:c r="B644" s="14"/>
      <x:c r="C644" t="str">
        <x:f>IF(B644="","",TEXT(B644,"yyyy-mm"))</x:f>
      </x:c>
      <x:c r="G644" s="16"/>
    </x:row>
    <x:row r="645">
      <x:c r="B645" s="14"/>
      <x:c r="C645" t="str">
        <x:f>IF(B645="","",TEXT(B645,"yyyy-mm"))</x:f>
      </x:c>
      <x:c r="G645" s="16"/>
    </x:row>
    <x:row r="646">
      <x:c r="B646" s="14"/>
      <x:c r="C646" t="str">
        <x:f>IF(B646="","",TEXT(B646,"yyyy-mm"))</x:f>
      </x:c>
      <x:c r="G646" s="16"/>
    </x:row>
    <x:row r="647">
      <x:c r="B647" s="14"/>
      <x:c r="C647" t="str">
        <x:f>IF(B647="","",TEXT(B647,"yyyy-mm"))</x:f>
      </x:c>
      <x:c r="G647" s="16"/>
    </x:row>
    <x:row r="648">
      <x:c r="B648" s="14"/>
      <x:c r="C648" t="str">
        <x:f>IF(B648="","",TEXT(B648,"yyyy-mm"))</x:f>
      </x:c>
      <x:c r="G648" s="16"/>
    </x:row>
    <x:row r="649">
      <x:c r="B649" s="14"/>
      <x:c r="C649" t="str">
        <x:f>IF(B649="","",TEXT(B649,"yyyy-mm"))</x:f>
      </x:c>
      <x:c r="G649" s="16"/>
    </x:row>
    <x:row r="650">
      <x:c r="B650" s="14"/>
      <x:c r="C650" t="str">
        <x:f>IF(B650="","",TEXT(B650,"yyyy-mm"))</x:f>
      </x:c>
      <x:c r="G650" s="16"/>
    </x:row>
    <x:row r="651">
      <x:c r="B651" s="14"/>
      <x:c r="C651" t="str">
        <x:f>IF(B651="","",TEXT(B651,"yyyy-mm"))</x:f>
      </x:c>
      <x:c r="G651" s="16"/>
    </x:row>
    <x:row r="652">
      <x:c r="B652" s="14"/>
      <x:c r="C652" t="str">
        <x:f>IF(B652="","",TEXT(B652,"yyyy-mm"))</x:f>
      </x:c>
      <x:c r="G652" s="16"/>
    </x:row>
    <x:row r="653">
      <x:c r="B653" s="14"/>
      <x:c r="C653" t="str">
        <x:f>IF(B653="","",TEXT(B653,"yyyy-mm"))</x:f>
      </x:c>
      <x:c r="G653" s="16"/>
    </x:row>
    <x:row r="654">
      <x:c r="B654" s="14"/>
      <x:c r="C654" t="str">
        <x:f>IF(B654="","",TEXT(B654,"yyyy-mm"))</x:f>
      </x:c>
      <x:c r="G654" s="16"/>
    </x:row>
    <x:row r="655">
      <x:c r="B655" s="14"/>
      <x:c r="C655" t="str">
        <x:f>IF(B655="","",TEXT(B655,"yyyy-mm"))</x:f>
      </x:c>
      <x:c r="G655" s="16"/>
    </x:row>
    <x:row r="656">
      <x:c r="B656" s="14"/>
      <x:c r="C656" t="str">
        <x:f>IF(B656="","",TEXT(B656,"yyyy-mm"))</x:f>
      </x:c>
      <x:c r="G656" s="16"/>
    </x:row>
    <x:row r="657">
      <x:c r="B657" s="14"/>
      <x:c r="C657" t="str">
        <x:f>IF(B657="","",TEXT(B657,"yyyy-mm"))</x:f>
      </x:c>
      <x:c r="G657" s="16"/>
    </x:row>
    <x:row r="658">
      <x:c r="B658" s="14"/>
      <x:c r="C658" t="str">
        <x:f>IF(B658="","",TEXT(B658,"yyyy-mm"))</x:f>
      </x:c>
      <x:c r="G658" s="16"/>
    </x:row>
    <x:row r="659">
      <x:c r="B659" s="14"/>
      <x:c r="C659" t="str">
        <x:f>IF(B659="","",TEXT(B659,"yyyy-mm"))</x:f>
      </x:c>
      <x:c r="G659" s="16"/>
    </x:row>
    <x:row r="660">
      <x:c r="B660" s="14"/>
      <x:c r="C660" t="str">
        <x:f>IF(B660="","",TEXT(B660,"yyyy-mm"))</x:f>
      </x:c>
      <x:c r="G660" s="16"/>
    </x:row>
    <x:row r="661">
      <x:c r="B661" s="14"/>
      <x:c r="C661" t="str">
        <x:f>IF(B661="","",TEXT(B661,"yyyy-mm"))</x:f>
      </x:c>
      <x:c r="G661" s="16"/>
    </x:row>
    <x:row r="662">
      <x:c r="B662" s="14"/>
      <x:c r="C662" t="str">
        <x:f>IF(B662="","",TEXT(B662,"yyyy-mm"))</x:f>
      </x:c>
      <x:c r="G662" s="16"/>
    </x:row>
    <x:row r="663">
      <x:c r="B663" s="14"/>
      <x:c r="C663" t="str">
        <x:f>IF(B663="","",TEXT(B663,"yyyy-mm"))</x:f>
      </x:c>
      <x:c r="G663" s="16"/>
    </x:row>
    <x:row r="664">
      <x:c r="B664" s="14"/>
      <x:c r="C664" t="str">
        <x:f>IF(B664="","",TEXT(B664,"yyyy-mm"))</x:f>
      </x:c>
      <x:c r="G664" s="16"/>
    </x:row>
    <x:row r="665">
      <x:c r="B665" s="14"/>
      <x:c r="C665" t="str">
        <x:f>IF(B665="","",TEXT(B665,"yyyy-mm"))</x:f>
      </x:c>
      <x:c r="G665" s="16"/>
    </x:row>
    <x:row r="666">
      <x:c r="B666" s="14"/>
      <x:c r="C666" t="str">
        <x:f>IF(B666="","",TEXT(B666,"yyyy-mm"))</x:f>
      </x:c>
      <x:c r="G666" s="16"/>
    </x:row>
    <x:row r="667">
      <x:c r="B667" s="14"/>
      <x:c r="C667" t="str">
        <x:f>IF(B667="","",TEXT(B667,"yyyy-mm"))</x:f>
      </x:c>
      <x:c r="G667" s="16"/>
    </x:row>
    <x:row r="668">
      <x:c r="B668" s="14"/>
      <x:c r="C668" t="str">
        <x:f>IF(B668="","",TEXT(B668,"yyyy-mm"))</x:f>
      </x:c>
      <x:c r="G668" s="16"/>
    </x:row>
    <x:row r="669">
      <x:c r="B669" s="14"/>
      <x:c r="C669" t="str">
        <x:f>IF(B669="","",TEXT(B669,"yyyy-mm"))</x:f>
      </x:c>
      <x:c r="G669" s="16"/>
    </x:row>
    <x:row r="670">
      <x:c r="B670" s="14"/>
      <x:c r="C670" t="str">
        <x:f>IF(B670="","",TEXT(B670,"yyyy-mm"))</x:f>
      </x:c>
      <x:c r="G670" s="16"/>
    </x:row>
    <x:row r="671">
      <x:c r="B671" s="14"/>
      <x:c r="C671" t="str">
        <x:f>IF(B671="","",TEXT(B671,"yyyy-mm"))</x:f>
      </x:c>
      <x:c r="G671" s="16"/>
    </x:row>
    <x:row r="672">
      <x:c r="B672" s="14"/>
      <x:c r="C672" t="str">
        <x:f>IF(B672="","",TEXT(B672,"yyyy-mm"))</x:f>
      </x:c>
      <x:c r="G672" s="16"/>
    </x:row>
    <x:row r="673">
      <x:c r="B673" s="14"/>
      <x:c r="C673" t="str">
        <x:f>IF(B673="","",TEXT(B673,"yyyy-mm"))</x:f>
      </x:c>
      <x:c r="G673" s="16"/>
    </x:row>
    <x:row r="674">
      <x:c r="B674" s="14"/>
      <x:c r="C674" t="str">
        <x:f>IF(B674="","",TEXT(B674,"yyyy-mm"))</x:f>
      </x:c>
      <x:c r="G674" s="16"/>
    </x:row>
    <x:row r="675">
      <x:c r="B675" s="14"/>
      <x:c r="C675" t="str">
        <x:f>IF(B675="","",TEXT(B675,"yyyy-mm"))</x:f>
      </x:c>
      <x:c r="G675" s="16"/>
    </x:row>
    <x:row r="676">
      <x:c r="B676" s="14"/>
      <x:c r="C676" t="str">
        <x:f>IF(B676="","",TEXT(B676,"yyyy-mm"))</x:f>
      </x:c>
      <x:c r="G676" s="16"/>
    </x:row>
    <x:row r="677">
      <x:c r="B677" s="14"/>
      <x:c r="C677" t="str">
        <x:f>IF(B677="","",TEXT(B677,"yyyy-mm"))</x:f>
      </x:c>
      <x:c r="G677" s="16"/>
    </x:row>
    <x:row r="678">
      <x:c r="B678" s="14"/>
      <x:c r="C678" t="str">
        <x:f>IF(B678="","",TEXT(B678,"yyyy-mm"))</x:f>
      </x:c>
      <x:c r="G678" s="16"/>
    </x:row>
    <x:row r="679">
      <x:c r="B679" s="14"/>
      <x:c r="C679" t="str">
        <x:f>IF(B679="","",TEXT(B679,"yyyy-mm"))</x:f>
      </x:c>
      <x:c r="G679" s="16"/>
    </x:row>
    <x:row r="680">
      <x:c r="B680" s="14"/>
      <x:c r="C680" t="str">
        <x:f>IF(B680="","",TEXT(B680,"yyyy-mm"))</x:f>
      </x:c>
      <x:c r="G680" s="16"/>
    </x:row>
    <x:row r="681">
      <x:c r="B681" s="14"/>
      <x:c r="C681" t="str">
        <x:f>IF(B681="","",TEXT(B681,"yyyy-mm"))</x:f>
      </x:c>
      <x:c r="G681" s="16"/>
    </x:row>
    <x:row r="682">
      <x:c r="B682" s="14"/>
      <x:c r="C682" t="str">
        <x:f>IF(B682="","",TEXT(B682,"yyyy-mm"))</x:f>
      </x:c>
      <x:c r="G682" s="16"/>
    </x:row>
    <x:row r="683">
      <x:c r="B683" s="14"/>
      <x:c r="C683" t="str">
        <x:f>IF(B683="","",TEXT(B683,"yyyy-mm"))</x:f>
      </x:c>
      <x:c r="G683" s="16"/>
    </x:row>
    <x:row r="684">
      <x:c r="B684" s="14"/>
      <x:c r="C684" t="str">
        <x:f>IF(B684="","",TEXT(B684,"yyyy-mm"))</x:f>
      </x:c>
      <x:c r="G684" s="16"/>
    </x:row>
    <x:row r="685">
      <x:c r="B685" s="14"/>
      <x:c r="C685" t="str">
        <x:f>IF(B685="","",TEXT(B685,"yyyy-mm"))</x:f>
      </x:c>
      <x:c r="G685" s="16"/>
    </x:row>
    <x:row r="686">
      <x:c r="B686" s="14"/>
      <x:c r="C686" t="str">
        <x:f>IF(B686="","",TEXT(B686,"yyyy-mm"))</x:f>
      </x:c>
      <x:c r="G686" s="16"/>
    </x:row>
    <x:row r="687">
      <x:c r="B687" s="14"/>
      <x:c r="C687" t="str">
        <x:f>IF(B687="","",TEXT(B687,"yyyy-mm"))</x:f>
      </x:c>
      <x:c r="G687" s="16"/>
    </x:row>
    <x:row r="688">
      <x:c r="B688" s="14"/>
      <x:c r="C688" t="str">
        <x:f>IF(B688="","",TEXT(B688,"yyyy-mm"))</x:f>
      </x:c>
      <x:c r="G688" s="16"/>
    </x:row>
    <x:row r="689">
      <x:c r="B689" s="14"/>
      <x:c r="C689" t="str">
        <x:f>IF(B689="","",TEXT(B689,"yyyy-mm"))</x:f>
      </x:c>
      <x:c r="G689" s="16"/>
    </x:row>
    <x:row r="690">
      <x:c r="B690" s="14"/>
      <x:c r="C690" t="str">
        <x:f>IF(B690="","",TEXT(B690,"yyyy-mm"))</x:f>
      </x:c>
      <x:c r="G690" s="16"/>
    </x:row>
    <x:row r="691">
      <x:c r="B691" s="14"/>
      <x:c r="C691" t="str">
        <x:f>IF(B691="","",TEXT(B691,"yyyy-mm"))</x:f>
      </x:c>
      <x:c r="G691" s="16"/>
    </x:row>
    <x:row r="692">
      <x:c r="B692" s="14"/>
      <x:c r="C692" t="str">
        <x:f>IF(B692="","",TEXT(B692,"yyyy-mm"))</x:f>
      </x:c>
      <x:c r="G692" s="16"/>
    </x:row>
    <x:row r="693">
      <x:c r="B693" s="14"/>
      <x:c r="C693" t="str">
        <x:f>IF(B693="","",TEXT(B693,"yyyy-mm"))</x:f>
      </x:c>
      <x:c r="G693" s="16"/>
    </x:row>
    <x:row r="694">
      <x:c r="B694" s="14"/>
      <x:c r="C694" t="str">
        <x:f>IF(B694="","",TEXT(B694,"yyyy-mm"))</x:f>
      </x:c>
      <x:c r="G694" s="16"/>
    </x:row>
    <x:row r="695">
      <x:c r="B695" s="14"/>
      <x:c r="C695" t="str">
        <x:f>IF(B695="","",TEXT(B695,"yyyy-mm"))</x:f>
      </x:c>
      <x:c r="G695" s="16"/>
    </x:row>
    <x:row r="696">
      <x:c r="B696" s="14"/>
      <x:c r="C696" t="str">
        <x:f>IF(B696="","",TEXT(B696,"yyyy-mm"))</x:f>
      </x:c>
      <x:c r="G696" s="16"/>
    </x:row>
    <x:row r="697">
      <x:c r="B697" s="14"/>
      <x:c r="C697" t="str">
        <x:f>IF(B697="","",TEXT(B697,"yyyy-mm"))</x:f>
      </x:c>
      <x:c r="G697" s="16"/>
    </x:row>
    <x:row r="698">
      <x:c r="B698" s="14"/>
      <x:c r="C698" t="str">
        <x:f>IF(B698="","",TEXT(B698,"yyyy-mm"))</x:f>
      </x:c>
      <x:c r="G698" s="16"/>
    </x:row>
    <x:row r="699">
      <x:c r="B699" s="14"/>
      <x:c r="C699" t="str">
        <x:f>IF(B699="","",TEXT(B699,"yyyy-mm"))</x:f>
      </x:c>
      <x:c r="G699" s="16"/>
    </x:row>
    <x:row r="700">
      <x:c r="B700" s="14"/>
      <x:c r="C700" t="str">
        <x:f>IF(B700="","",TEXT(B700,"yyyy-mm"))</x:f>
      </x:c>
      <x:c r="G700" s="16"/>
    </x:row>
    <x:row r="701">
      <x:c r="B701" s="14"/>
      <x:c r="C701" t="str">
        <x:f>IF(B701="","",TEXT(B701,"yyyy-mm"))</x:f>
      </x:c>
      <x:c r="G701" s="16"/>
    </x:row>
    <x:row r="702">
      <x:c r="B702" s="14"/>
      <x:c r="C702" t="str">
        <x:f>IF(B702="","",TEXT(B702,"yyyy-mm"))</x:f>
      </x:c>
      <x:c r="G702" s="16"/>
    </x:row>
    <x:row r="703">
      <x:c r="B703" s="14"/>
      <x:c r="C703" t="str">
        <x:f>IF(B703="","",TEXT(B703,"yyyy-mm"))</x:f>
      </x:c>
      <x:c r="G703" s="16"/>
    </x:row>
    <x:row r="704">
      <x:c r="B704" s="14"/>
      <x:c r="C704" t="str">
        <x:f>IF(B704="","",TEXT(B704,"yyyy-mm"))</x:f>
      </x:c>
      <x:c r="G704" s="16"/>
    </x:row>
    <x:row r="705">
      <x:c r="B705" s="14"/>
      <x:c r="C705" t="str">
        <x:f>IF(B705="","",TEXT(B705,"yyyy-mm"))</x:f>
      </x:c>
      <x:c r="G705" s="16"/>
    </x:row>
    <x:row r="706">
      <x:c r="B706" s="14"/>
      <x:c r="C706" t="str">
        <x:f>IF(B706="","",TEXT(B706,"yyyy-mm"))</x:f>
      </x:c>
      <x:c r="G706" s="16"/>
    </x:row>
    <x:row r="707">
      <x:c r="B707" s="14"/>
      <x:c r="C707" t="str">
        <x:f>IF(B707="","",TEXT(B707,"yyyy-mm"))</x:f>
      </x:c>
      <x:c r="G707" s="16"/>
    </x:row>
    <x:row r="708">
      <x:c r="B708" s="14"/>
      <x:c r="C708" t="str">
        <x:f>IF(B708="","",TEXT(B708,"yyyy-mm"))</x:f>
      </x:c>
      <x:c r="G708" s="16"/>
    </x:row>
    <x:row r="709">
      <x:c r="B709" s="14"/>
      <x:c r="C709" t="str">
        <x:f>IF(B709="","",TEXT(B709,"yyyy-mm"))</x:f>
      </x:c>
      <x:c r="G709" s="16"/>
    </x:row>
    <x:row r="710">
      <x:c r="B710" s="14"/>
      <x:c r="C710" t="str">
        <x:f>IF(B710="","",TEXT(B710,"yyyy-mm"))</x:f>
      </x:c>
      <x:c r="G710" s="16"/>
    </x:row>
    <x:row r="711">
      <x:c r="B711" s="14"/>
      <x:c r="C711" t="str">
        <x:f>IF(B711="","",TEXT(B711,"yyyy-mm"))</x:f>
      </x:c>
      <x:c r="G711" s="16"/>
    </x:row>
    <x:row r="712">
      <x:c r="B712" s="14"/>
      <x:c r="C712" t="str">
        <x:f>IF(B712="","",TEXT(B712,"yyyy-mm"))</x:f>
      </x:c>
      <x:c r="G712" s="16"/>
    </x:row>
    <x:row r="713">
      <x:c r="B713" s="14"/>
      <x:c r="C713" t="str">
        <x:f>IF(B713="","",TEXT(B713,"yyyy-mm"))</x:f>
      </x:c>
      <x:c r="G713" s="16"/>
    </x:row>
    <x:row r="714">
      <x:c r="B714" s="14"/>
      <x:c r="C714" t="str">
        <x:f>IF(B714="","",TEXT(B714,"yyyy-mm"))</x:f>
      </x:c>
      <x:c r="G714" s="16"/>
    </x:row>
    <x:row r="715">
      <x:c r="B715" s="14"/>
      <x:c r="C715" t="str">
        <x:f>IF(B715="","",TEXT(B715,"yyyy-mm"))</x:f>
      </x:c>
      <x:c r="G715" s="16"/>
    </x:row>
    <x:row r="716">
      <x:c r="B716" s="14"/>
      <x:c r="C716" t="str">
        <x:f>IF(B716="","",TEXT(B716,"yyyy-mm"))</x:f>
      </x:c>
      <x:c r="G716" s="16"/>
    </x:row>
    <x:row r="717">
      <x:c r="B717" s="14"/>
      <x:c r="C717" t="str">
        <x:f>IF(B717="","",TEXT(B717,"yyyy-mm"))</x:f>
      </x:c>
      <x:c r="G717" s="16"/>
    </x:row>
    <x:row r="718">
      <x:c r="B718" s="14"/>
      <x:c r="C718" t="str">
        <x:f>IF(B718="","",TEXT(B718,"yyyy-mm"))</x:f>
      </x:c>
      <x:c r="G718" s="16"/>
    </x:row>
    <x:row r="719">
      <x:c r="B719" s="14"/>
      <x:c r="C719" t="str">
        <x:f>IF(B719="","",TEXT(B719,"yyyy-mm"))</x:f>
      </x:c>
      <x:c r="G719" s="16"/>
    </x:row>
    <x:row r="720">
      <x:c r="B720" s="14"/>
      <x:c r="C720" t="str">
        <x:f>IF(B720="","",TEXT(B720,"yyyy-mm"))</x:f>
      </x:c>
      <x:c r="G720" s="16"/>
    </x:row>
    <x:row r="721">
      <x:c r="B721" s="14"/>
      <x:c r="C721" t="str">
        <x:f>IF(B721="","",TEXT(B721,"yyyy-mm"))</x:f>
      </x:c>
      <x:c r="G721" s="16"/>
    </x:row>
    <x:row r="722">
      <x:c r="B722" s="14"/>
      <x:c r="C722" t="str">
        <x:f>IF(B722="","",TEXT(B722,"yyyy-mm"))</x:f>
      </x:c>
      <x:c r="G722" s="16"/>
    </x:row>
    <x:row r="723">
      <x:c r="B723" s="14"/>
      <x:c r="C723" t="str">
        <x:f>IF(B723="","",TEXT(B723,"yyyy-mm"))</x:f>
      </x:c>
      <x:c r="G723" s="16"/>
    </x:row>
    <x:row r="724">
      <x:c r="B724" s="14"/>
      <x:c r="C724" t="str">
        <x:f>IF(B724="","",TEXT(B724,"yyyy-mm"))</x:f>
      </x:c>
      <x:c r="G724" s="16"/>
    </x:row>
    <x:row r="725">
      <x:c r="B725" s="14"/>
      <x:c r="C725" t="str">
        <x:f>IF(B725="","",TEXT(B725,"yyyy-mm"))</x:f>
      </x:c>
      <x:c r="G725" s="16"/>
    </x:row>
    <x:row r="726">
      <x:c r="B726" s="14"/>
      <x:c r="C726" t="str">
        <x:f>IF(B726="","",TEXT(B726,"yyyy-mm"))</x:f>
      </x:c>
      <x:c r="G726" s="16"/>
    </x:row>
    <x:row r="727">
      <x:c r="B727" s="14"/>
      <x:c r="C727" t="str">
        <x:f>IF(B727="","",TEXT(B727,"yyyy-mm"))</x:f>
      </x:c>
      <x:c r="G727" s="16"/>
    </x:row>
    <x:row r="728">
      <x:c r="B728" s="14"/>
      <x:c r="C728" t="str">
        <x:f>IF(B728="","",TEXT(B728,"yyyy-mm"))</x:f>
      </x:c>
      <x:c r="G728" s="16"/>
    </x:row>
    <x:row r="729">
      <x:c r="B729" s="14"/>
      <x:c r="C729" t="str">
        <x:f>IF(B729="","",TEXT(B729,"yyyy-mm"))</x:f>
      </x:c>
      <x:c r="G729" s="16"/>
    </x:row>
    <x:row r="730">
      <x:c r="B730" s="14"/>
      <x:c r="C730" t="str">
        <x:f>IF(B730="","",TEXT(B730,"yyyy-mm"))</x:f>
      </x:c>
      <x:c r="G730" s="16"/>
    </x:row>
    <x:row r="731">
      <x:c r="B731" s="14"/>
      <x:c r="C731" t="str">
        <x:f>IF(B731="","",TEXT(B731,"yyyy-mm"))</x:f>
      </x:c>
      <x:c r="G731" s="16"/>
    </x:row>
    <x:row r="732">
      <x:c r="B732" s="14"/>
      <x:c r="C732" t="str">
        <x:f>IF(B732="","",TEXT(B732,"yyyy-mm"))</x:f>
      </x:c>
      <x:c r="G732" s="16"/>
    </x:row>
    <x:row r="733">
      <x:c r="B733" s="14"/>
      <x:c r="C733" t="str">
        <x:f>IF(B733="","",TEXT(B733,"yyyy-mm"))</x:f>
      </x:c>
      <x:c r="G733" s="16"/>
    </x:row>
    <x:row r="734">
      <x:c r="B734" s="14"/>
      <x:c r="C734" t="str">
        <x:f>IF(B734="","",TEXT(B734,"yyyy-mm"))</x:f>
      </x:c>
      <x:c r="G734" s="16"/>
    </x:row>
    <x:row r="735">
      <x:c r="B735" s="14"/>
      <x:c r="C735" t="str">
        <x:f>IF(B735="","",TEXT(B735,"yyyy-mm"))</x:f>
      </x:c>
      <x:c r="G735" s="16"/>
    </x:row>
    <x:row r="736">
      <x:c r="B736" s="14"/>
      <x:c r="C736" t="str">
        <x:f>IF(B736="","",TEXT(B736,"yyyy-mm"))</x:f>
      </x:c>
      <x:c r="G736" s="16"/>
    </x:row>
    <x:row r="737">
      <x:c r="B737" s="14"/>
      <x:c r="C737" t="str">
        <x:f>IF(B737="","",TEXT(B737,"yyyy-mm"))</x:f>
      </x:c>
      <x:c r="G737" s="16"/>
    </x:row>
    <x:row r="738">
      <x:c r="B738" s="14"/>
      <x:c r="C738" t="str">
        <x:f>IF(B738="","",TEXT(B738,"yyyy-mm"))</x:f>
      </x:c>
      <x:c r="G738" s="16"/>
    </x:row>
    <x:row r="739">
      <x:c r="B739" s="14"/>
      <x:c r="C739" t="str">
        <x:f>IF(B739="","",TEXT(B739,"yyyy-mm"))</x:f>
      </x:c>
      <x:c r="G739" s="16"/>
    </x:row>
    <x:row r="740">
      <x:c r="B740" s="14"/>
      <x:c r="C740" t="str">
        <x:f>IF(B740="","",TEXT(B740,"yyyy-mm"))</x:f>
      </x:c>
      <x:c r="G740" s="16"/>
    </x:row>
    <x:row r="741">
      <x:c r="B741" s="14"/>
      <x:c r="C741" t="str">
        <x:f>IF(B741="","",TEXT(B741,"yyyy-mm"))</x:f>
      </x:c>
      <x:c r="G741" s="16"/>
    </x:row>
    <x:row r="742">
      <x:c r="B742" s="14"/>
      <x:c r="C742" t="str">
        <x:f>IF(B742="","",TEXT(B742,"yyyy-mm"))</x:f>
      </x:c>
      <x:c r="G742" s="16"/>
    </x:row>
    <x:row r="743">
      <x:c r="B743" s="14"/>
      <x:c r="C743" t="str">
        <x:f>IF(B743="","",TEXT(B743,"yyyy-mm"))</x:f>
      </x:c>
      <x:c r="G743" s="16"/>
    </x:row>
    <x:row r="744">
      <x:c r="B744" s="14"/>
      <x:c r="C744" t="str">
        <x:f>IF(B744="","",TEXT(B744,"yyyy-mm"))</x:f>
      </x:c>
      <x:c r="G744" s="16"/>
    </x:row>
    <x:row r="745">
      <x:c r="B745" s="14"/>
      <x:c r="C745" t="str">
        <x:f>IF(B745="","",TEXT(B745,"yyyy-mm"))</x:f>
      </x:c>
      <x:c r="G745" s="16"/>
    </x:row>
    <x:row r="746">
      <x:c r="B746" s="14"/>
      <x:c r="C746" t="str">
        <x:f>IF(B746="","",TEXT(B746,"yyyy-mm"))</x:f>
      </x:c>
      <x:c r="G746" s="16"/>
    </x:row>
    <x:row r="747">
      <x:c r="B747" s="14"/>
      <x:c r="C747" t="str">
        <x:f>IF(B747="","",TEXT(B747,"yyyy-mm"))</x:f>
      </x:c>
      <x:c r="G747" s="16"/>
    </x:row>
    <x:row r="748">
      <x:c r="B748" s="14"/>
      <x:c r="C748" t="str">
        <x:f>IF(B748="","",TEXT(B748,"yyyy-mm"))</x:f>
      </x:c>
      <x:c r="G748" s="16"/>
    </x:row>
    <x:row r="749">
      <x:c r="B749" s="14"/>
      <x:c r="C749" t="str">
        <x:f>IF(B749="","",TEXT(B749,"yyyy-mm"))</x:f>
      </x:c>
      <x:c r="G749" s="16"/>
    </x:row>
    <x:row r="750">
      <x:c r="B750" s="14"/>
      <x:c r="C750" t="str">
        <x:f>IF(B750="","",TEXT(B750,"yyyy-mm"))</x:f>
      </x:c>
      <x:c r="G750" s="16"/>
    </x:row>
    <x:row r="751">
      <x:c r="B751" s="14"/>
      <x:c r="C751" t="str">
        <x:f>IF(B751="","",TEXT(B751,"yyyy-mm"))</x:f>
      </x:c>
      <x:c r="G751" s="16"/>
    </x:row>
    <x:row r="752">
      <x:c r="B752" s="14"/>
      <x:c r="C752" t="str">
        <x:f>IF(B752="","",TEXT(B752,"yyyy-mm"))</x:f>
      </x:c>
      <x:c r="G752" s="16"/>
    </x:row>
    <x:row r="753">
      <x:c r="B753" s="14"/>
      <x:c r="C753" t="str">
        <x:f>IF(B753="","",TEXT(B753,"yyyy-mm"))</x:f>
      </x:c>
      <x:c r="G753" s="16"/>
    </x:row>
    <x:row r="754">
      <x:c r="B754" s="14"/>
      <x:c r="C754" t="str">
        <x:f>IF(B754="","",TEXT(B754,"yyyy-mm"))</x:f>
      </x:c>
      <x:c r="G754" s="16"/>
    </x:row>
    <x:row r="755">
      <x:c r="B755" s="14"/>
      <x:c r="C755" t="str">
        <x:f>IF(B755="","",TEXT(B755,"yyyy-mm"))</x:f>
      </x:c>
      <x:c r="G755" s="16"/>
    </x:row>
    <x:row r="756">
      <x:c r="B756" s="14"/>
      <x:c r="C756" t="str">
        <x:f>IF(B756="","",TEXT(B756,"yyyy-mm"))</x:f>
      </x:c>
      <x:c r="G756" s="16"/>
    </x:row>
    <x:row r="757">
      <x:c r="B757" s="14"/>
      <x:c r="C757" t="str">
        <x:f>IF(B757="","",TEXT(B757,"yyyy-mm"))</x:f>
      </x:c>
      <x:c r="G757" s="16"/>
    </x:row>
    <x:row r="758">
      <x:c r="B758" s="14"/>
      <x:c r="C758" t="str">
        <x:f>IF(B758="","",TEXT(B758,"yyyy-mm"))</x:f>
      </x:c>
      <x:c r="G758" s="16"/>
    </x:row>
    <x:row r="759">
      <x:c r="B759" s="14"/>
      <x:c r="C759" t="str">
        <x:f>IF(B759="","",TEXT(B759,"yyyy-mm"))</x:f>
      </x:c>
      <x:c r="G759" s="16"/>
    </x:row>
    <x:row r="760">
      <x:c r="B760" s="14"/>
      <x:c r="C760" t="str">
        <x:f>IF(B760="","",TEXT(B760,"yyyy-mm"))</x:f>
      </x:c>
      <x:c r="G760" s="16"/>
    </x:row>
    <x:row r="761">
      <x:c r="B761" s="14"/>
      <x:c r="C761" t="str">
        <x:f>IF(B761="","",TEXT(B761,"yyyy-mm"))</x:f>
      </x:c>
      <x:c r="G761" s="16"/>
    </x:row>
    <x:row r="762">
      <x:c r="B762" s="14"/>
      <x:c r="C762" t="str">
        <x:f>IF(B762="","",TEXT(B762,"yyyy-mm"))</x:f>
      </x:c>
      <x:c r="G762" s="16"/>
    </x:row>
    <x:row r="763">
      <x:c r="B763" s="14"/>
      <x:c r="C763" t="str">
        <x:f>IF(B763="","",TEXT(B763,"yyyy-mm"))</x:f>
      </x:c>
      <x:c r="G763" s="16"/>
    </x:row>
    <x:row r="764">
      <x:c r="B764" s="14"/>
      <x:c r="C764" t="str">
        <x:f>IF(B764="","",TEXT(B764,"yyyy-mm"))</x:f>
      </x:c>
      <x:c r="G764" s="16"/>
    </x:row>
    <x:row r="765">
      <x:c r="B765" s="14"/>
      <x:c r="C765" t="str">
        <x:f>IF(B765="","",TEXT(B765,"yyyy-mm"))</x:f>
      </x:c>
      <x:c r="G765" s="16"/>
    </x:row>
    <x:row r="766">
      <x:c r="B766" s="14"/>
      <x:c r="C766" t="str">
        <x:f>IF(B766="","",TEXT(B766,"yyyy-mm"))</x:f>
      </x:c>
      <x:c r="G766" s="16"/>
    </x:row>
    <x:row r="767">
      <x:c r="B767" s="14"/>
      <x:c r="C767" t="str">
        <x:f>IF(B767="","",TEXT(B767,"yyyy-mm"))</x:f>
      </x:c>
      <x:c r="G767" s="16"/>
    </x:row>
    <x:row r="768">
      <x:c r="B768" s="14"/>
      <x:c r="C768" t="str">
        <x:f>IF(B768="","",TEXT(B768,"yyyy-mm"))</x:f>
      </x:c>
      <x:c r="G768" s="16"/>
    </x:row>
    <x:row r="769">
      <x:c r="B769" s="14"/>
      <x:c r="C769" t="str">
        <x:f>IF(B769="","",TEXT(B769,"yyyy-mm"))</x:f>
      </x:c>
      <x:c r="G769" s="16"/>
    </x:row>
    <x:row r="770">
      <x:c r="B770" s="14"/>
      <x:c r="C770" t="str">
        <x:f>IF(B770="","",TEXT(B770,"yyyy-mm"))</x:f>
      </x:c>
      <x:c r="G770" s="16"/>
    </x:row>
    <x:row r="771">
      <x:c r="B771" s="14"/>
      <x:c r="C771" t="str">
        <x:f>IF(B771="","",TEXT(B771,"yyyy-mm"))</x:f>
      </x:c>
      <x:c r="G771" s="16"/>
    </x:row>
    <x:row r="772">
      <x:c r="B772" s="14"/>
      <x:c r="C772" t="str">
        <x:f>IF(B772="","",TEXT(B772,"yyyy-mm"))</x:f>
      </x:c>
      <x:c r="G772" s="16"/>
    </x:row>
    <x:row r="773">
      <x:c r="B773" s="14"/>
      <x:c r="C773" t="str">
        <x:f>IF(B773="","",TEXT(B773,"yyyy-mm"))</x:f>
      </x:c>
      <x:c r="G773" s="16"/>
    </x:row>
    <x:row r="774">
      <x:c r="B774" s="14"/>
      <x:c r="C774" t="str">
        <x:f>IF(B774="","",TEXT(B774,"yyyy-mm"))</x:f>
      </x:c>
      <x:c r="G774" s="16"/>
    </x:row>
    <x:row r="775">
      <x:c r="B775" s="14"/>
      <x:c r="C775" t="str">
        <x:f>IF(B775="","",TEXT(B775,"yyyy-mm"))</x:f>
      </x:c>
      <x:c r="G775" s="16"/>
    </x:row>
    <x:row r="776">
      <x:c r="B776" s="14"/>
      <x:c r="C776" t="str">
        <x:f>IF(B776="","",TEXT(B776,"yyyy-mm"))</x:f>
      </x:c>
      <x:c r="G776" s="16"/>
    </x:row>
    <x:row r="777">
      <x:c r="B777" s="14"/>
      <x:c r="C777" t="str">
        <x:f>IF(B777="","",TEXT(B777,"yyyy-mm"))</x:f>
      </x:c>
      <x:c r="G777" s="16"/>
    </x:row>
    <x:row r="778">
      <x:c r="B778" s="14"/>
      <x:c r="C778" t="str">
        <x:f>IF(B778="","",TEXT(B778,"yyyy-mm"))</x:f>
      </x:c>
      <x:c r="G778" s="16"/>
    </x:row>
    <x:row r="779">
      <x:c r="B779" s="14"/>
      <x:c r="C779" t="str">
        <x:f>IF(B779="","",TEXT(B779,"yyyy-mm"))</x:f>
      </x:c>
      <x:c r="G779" s="16"/>
    </x:row>
    <x:row r="780">
      <x:c r="B780" s="14"/>
      <x:c r="C780" t="str">
        <x:f>IF(B780="","",TEXT(B780,"yyyy-mm"))</x:f>
      </x:c>
      <x:c r="G780" s="16"/>
    </x:row>
    <x:row r="781">
      <x:c r="B781" s="14"/>
      <x:c r="C781" t="str">
        <x:f>IF(B781="","",TEXT(B781,"yyyy-mm"))</x:f>
      </x:c>
      <x:c r="G781" s="16"/>
    </x:row>
    <x:row r="782">
      <x:c r="B782" s="14"/>
      <x:c r="C782" t="str">
        <x:f>IF(B782="","",TEXT(B782,"yyyy-mm"))</x:f>
      </x:c>
      <x:c r="G782" s="16"/>
    </x:row>
    <x:row r="783">
      <x:c r="B783" s="14"/>
      <x:c r="C783" t="str">
        <x:f>IF(B783="","",TEXT(B783,"yyyy-mm"))</x:f>
      </x:c>
      <x:c r="G783" s="16"/>
    </x:row>
    <x:row r="784">
      <x:c r="B784" s="14"/>
      <x:c r="C784" t="str">
        <x:f>IF(B784="","",TEXT(B784,"yyyy-mm"))</x:f>
      </x:c>
      <x:c r="G784" s="16"/>
    </x:row>
    <x:row r="785">
      <x:c r="B785" s="14"/>
      <x:c r="C785" t="str">
        <x:f>IF(B785="","",TEXT(B785,"yyyy-mm"))</x:f>
      </x:c>
      <x:c r="G785" s="16"/>
    </x:row>
    <x:row r="786">
      <x:c r="B786" s="14"/>
      <x:c r="C786" t="str">
        <x:f>IF(B786="","",TEXT(B786,"yyyy-mm"))</x:f>
      </x:c>
      <x:c r="G786" s="16"/>
    </x:row>
    <x:row r="787">
      <x:c r="B787" s="14"/>
      <x:c r="C787" t="str">
        <x:f>IF(B787="","",TEXT(B787,"yyyy-mm"))</x:f>
      </x:c>
      <x:c r="G787" s="16"/>
    </x:row>
    <x:row r="788">
      <x:c r="B788" s="14"/>
      <x:c r="C788" t="str">
        <x:f>IF(B788="","",TEXT(B788,"yyyy-mm"))</x:f>
      </x:c>
      <x:c r="G788" s="16"/>
    </x:row>
    <x:row r="789">
      <x:c r="B789" s="14"/>
      <x:c r="C789" t="str">
        <x:f>IF(B789="","",TEXT(B789,"yyyy-mm"))</x:f>
      </x:c>
      <x:c r="G789" s="16"/>
    </x:row>
    <x:row r="790">
      <x:c r="B790" s="14"/>
      <x:c r="C790" t="str">
        <x:f>IF(B790="","",TEXT(B790,"yyyy-mm"))</x:f>
      </x:c>
      <x:c r="G790" s="16"/>
    </x:row>
    <x:row r="791">
      <x:c r="B791" s="14"/>
      <x:c r="C791" t="str">
        <x:f>IF(B791="","",TEXT(B791,"yyyy-mm"))</x:f>
      </x:c>
      <x:c r="G791" s="16"/>
    </x:row>
    <x:row r="792">
      <x:c r="B792" s="14"/>
      <x:c r="C792" t="str">
        <x:f>IF(B792="","",TEXT(B792,"yyyy-mm"))</x:f>
      </x:c>
      <x:c r="G792" s="16"/>
    </x:row>
    <x:row r="793">
      <x:c r="B793" s="14"/>
      <x:c r="C793" t="str">
        <x:f>IF(B793="","",TEXT(B793,"yyyy-mm"))</x:f>
      </x:c>
      <x:c r="G793" s="16"/>
    </x:row>
    <x:row r="794">
      <x:c r="B794" s="14"/>
      <x:c r="C794" t="str">
        <x:f>IF(B794="","",TEXT(B794,"yyyy-mm"))</x:f>
      </x:c>
      <x:c r="G794" s="16"/>
    </x:row>
    <x:row r="795">
      <x:c r="B795" s="14"/>
      <x:c r="C795" t="str">
        <x:f>IF(B795="","",TEXT(B795,"yyyy-mm"))</x:f>
      </x:c>
      <x:c r="G795" s="16"/>
    </x:row>
    <x:row r="796">
      <x:c r="B796" s="14"/>
      <x:c r="C796" t="str">
        <x:f>IF(B796="","",TEXT(B796,"yyyy-mm"))</x:f>
      </x:c>
      <x:c r="G796" s="16"/>
    </x:row>
    <x:row r="797">
      <x:c r="B797" s="14"/>
      <x:c r="C797" t="str">
        <x:f>IF(B797="","",TEXT(B797,"yyyy-mm"))</x:f>
      </x:c>
      <x:c r="G797" s="16"/>
    </x:row>
    <x:row r="798">
      <x:c r="B798" s="14"/>
      <x:c r="C798" t="str">
        <x:f>IF(B798="","",TEXT(B798,"yyyy-mm"))</x:f>
      </x:c>
      <x:c r="G798" s="16"/>
    </x:row>
    <x:row r="799">
      <x:c r="B799" s="14"/>
      <x:c r="C799" t="str">
        <x:f>IF(B799="","",TEXT(B799,"yyyy-mm"))</x:f>
      </x:c>
      <x:c r="G799" s="16"/>
    </x:row>
    <x:row r="800">
      <x:c r="B800" s="14"/>
      <x:c r="C800" t="str">
        <x:f>IF(B800="","",TEXT(B800,"yyyy-mm"))</x:f>
      </x:c>
      <x:c r="G800" s="16"/>
    </x:row>
    <x:row r="801">
      <x:c r="B801" s="14"/>
      <x:c r="C801" t="str">
        <x:f>IF(B801="","",TEXT(B801,"yyyy-mm"))</x:f>
      </x:c>
      <x:c r="G801" s="16"/>
    </x:row>
    <x:row r="802">
      <x:c r="B802" s="14"/>
      <x:c r="C802" t="str">
        <x:f>IF(B802="","",TEXT(B802,"yyyy-mm"))</x:f>
      </x:c>
      <x:c r="G802" s="16"/>
    </x:row>
    <x:row r="803">
      <x:c r="B803" s="14"/>
      <x:c r="C803" t="str">
        <x:f>IF(B803="","",TEXT(B803,"yyyy-mm"))</x:f>
      </x:c>
      <x:c r="G803" s="16"/>
    </x:row>
    <x:row r="804">
      <x:c r="B804" s="14"/>
      <x:c r="C804" t="str">
        <x:f>IF(B804="","",TEXT(B804,"yyyy-mm"))</x:f>
      </x:c>
      <x:c r="G804" s="16"/>
    </x:row>
    <x:row r="805">
      <x:c r="B805" s="14"/>
      <x:c r="C805" t="str">
        <x:f>IF(B805="","",TEXT(B805,"yyyy-mm"))</x:f>
      </x:c>
      <x:c r="G805" s="16"/>
    </x:row>
    <x:row r="806">
      <x:c r="B806" s="14"/>
      <x:c r="C806" t="str">
        <x:f>IF(B806="","",TEXT(B806,"yyyy-mm"))</x:f>
      </x:c>
      <x:c r="G806" s="16"/>
    </x:row>
    <x:row r="807">
      <x:c r="B807" s="14"/>
      <x:c r="C807" t="str">
        <x:f>IF(B807="","",TEXT(B807,"yyyy-mm"))</x:f>
      </x:c>
      <x:c r="G807" s="16"/>
    </x:row>
    <x:row r="808">
      <x:c r="B808" s="14"/>
      <x:c r="C808" t="str">
        <x:f>IF(B808="","",TEXT(B808,"yyyy-mm"))</x:f>
      </x:c>
      <x:c r="G808" s="16"/>
    </x:row>
    <x:row r="809">
      <x:c r="B809" s="14"/>
      <x:c r="C809" t="str">
        <x:f>IF(B809="","",TEXT(B809,"yyyy-mm"))</x:f>
      </x:c>
      <x:c r="G809" s="16"/>
    </x:row>
    <x:row r="810">
      <x:c r="B810" s="14"/>
      <x:c r="C810" t="str">
        <x:f>IF(B810="","",TEXT(B810,"yyyy-mm"))</x:f>
      </x:c>
      <x:c r="G810" s="16"/>
    </x:row>
    <x:row r="811">
      <x:c r="B811" s="14"/>
      <x:c r="C811" t="str">
        <x:f>IF(B811="","",TEXT(B811,"yyyy-mm"))</x:f>
      </x:c>
      <x:c r="G811" s="16"/>
    </x:row>
    <x:row r="812">
      <x:c r="B812" s="14"/>
      <x:c r="C812" t="str">
        <x:f>IF(B812="","",TEXT(B812,"yyyy-mm"))</x:f>
      </x:c>
      <x:c r="G812" s="16"/>
    </x:row>
    <x:row r="813">
      <x:c r="B813" s="14"/>
      <x:c r="C813" t="str">
        <x:f>IF(B813="","",TEXT(B813,"yyyy-mm"))</x:f>
      </x:c>
      <x:c r="G813" s="16"/>
    </x:row>
    <x:row r="814">
      <x:c r="B814" s="14"/>
      <x:c r="C814" t="str">
        <x:f>IF(B814="","",TEXT(B814,"yyyy-mm"))</x:f>
      </x:c>
      <x:c r="G814" s="16"/>
    </x:row>
    <x:row r="815">
      <x:c r="B815" s="14"/>
      <x:c r="C815" t="str">
        <x:f>IF(B815="","",TEXT(B815,"yyyy-mm"))</x:f>
      </x:c>
      <x:c r="G815" s="16"/>
    </x:row>
    <x:row r="816">
      <x:c r="B816" s="14"/>
      <x:c r="C816" t="str">
        <x:f>IF(B816="","",TEXT(B816,"yyyy-mm"))</x:f>
      </x:c>
      <x:c r="G816" s="16"/>
    </x:row>
    <x:row r="817">
      <x:c r="B817" s="14"/>
      <x:c r="C817" t="str">
        <x:f>IF(B817="","",TEXT(B817,"yyyy-mm"))</x:f>
      </x:c>
      <x:c r="G817" s="16"/>
    </x:row>
    <x:row r="818">
      <x:c r="B818" s="14"/>
      <x:c r="C818" t="str">
        <x:f>IF(B818="","",TEXT(B818,"yyyy-mm"))</x:f>
      </x:c>
      <x:c r="G818" s="16"/>
    </x:row>
    <x:row r="819">
      <x:c r="B819" s="14"/>
      <x:c r="C819" t="str">
        <x:f>IF(B819="","",TEXT(B819,"yyyy-mm"))</x:f>
      </x:c>
      <x:c r="G819" s="16"/>
    </x:row>
    <x:row r="820">
      <x:c r="B820" s="14"/>
      <x:c r="C820" t="str">
        <x:f>IF(B820="","",TEXT(B820,"yyyy-mm"))</x:f>
      </x:c>
      <x:c r="G820" s="16"/>
    </x:row>
    <x:row r="821">
      <x:c r="B821" s="14"/>
      <x:c r="C821" t="str">
        <x:f>IF(B821="","",TEXT(B821,"yyyy-mm"))</x:f>
      </x:c>
      <x:c r="G821" s="16"/>
    </x:row>
    <x:row r="822">
      <x:c r="B822" s="14"/>
      <x:c r="C822" t="str">
        <x:f>IF(B822="","",TEXT(B822,"yyyy-mm"))</x:f>
      </x:c>
      <x:c r="G822" s="16"/>
    </x:row>
    <x:row r="823">
      <x:c r="B823" s="14"/>
      <x:c r="C823" t="str">
        <x:f>IF(B823="","",TEXT(B823,"yyyy-mm"))</x:f>
      </x:c>
      <x:c r="G823" s="16"/>
    </x:row>
    <x:row r="824">
      <x:c r="B824" s="14"/>
      <x:c r="C824" t="str">
        <x:f>IF(B824="","",TEXT(B824,"yyyy-mm"))</x:f>
      </x:c>
      <x:c r="G824" s="16"/>
    </x:row>
    <x:row r="825">
      <x:c r="B825" s="14"/>
      <x:c r="C825" t="str">
        <x:f>IF(B825="","",TEXT(B825,"yyyy-mm"))</x:f>
      </x:c>
      <x:c r="G825" s="16"/>
    </x:row>
    <x:row r="826">
      <x:c r="B826" s="14"/>
      <x:c r="C826" t="str">
        <x:f>IF(B826="","",TEXT(B826,"yyyy-mm"))</x:f>
      </x:c>
      <x:c r="G826" s="16"/>
    </x:row>
    <x:row r="827">
      <x:c r="B827" s="14"/>
      <x:c r="C827" t="str">
        <x:f>IF(B827="","",TEXT(B827,"yyyy-mm"))</x:f>
      </x:c>
      <x:c r="G827" s="16"/>
    </x:row>
    <x:row r="828">
      <x:c r="B828" s="14"/>
      <x:c r="C828" t="str">
        <x:f>IF(B828="","",TEXT(B828,"yyyy-mm"))</x:f>
      </x:c>
      <x:c r="G828" s="16"/>
    </x:row>
    <x:row r="829">
      <x:c r="B829" s="14"/>
      <x:c r="C829" t="str">
        <x:f>IF(B829="","",TEXT(B829,"yyyy-mm"))</x:f>
      </x:c>
      <x:c r="G829" s="16"/>
    </x:row>
    <x:row r="830">
      <x:c r="B830" s="14"/>
      <x:c r="C830" t="str">
        <x:f>IF(B830="","",TEXT(B830,"yyyy-mm"))</x:f>
      </x:c>
      <x:c r="G830" s="16"/>
    </x:row>
    <x:row r="831">
      <x:c r="B831" s="14"/>
      <x:c r="C831" t="str">
        <x:f>IF(B831="","",TEXT(B831,"yyyy-mm"))</x:f>
      </x:c>
      <x:c r="G831" s="16"/>
    </x:row>
    <x:row r="832">
      <x:c r="B832" s="14"/>
      <x:c r="C832" t="str">
        <x:f>IF(B832="","",TEXT(B832,"yyyy-mm"))</x:f>
      </x:c>
      <x:c r="G832" s="16"/>
    </x:row>
    <x:row r="833">
      <x:c r="B833" s="14"/>
      <x:c r="C833" t="str">
        <x:f>IF(B833="","",TEXT(B833,"yyyy-mm"))</x:f>
      </x:c>
      <x:c r="G833" s="16"/>
    </x:row>
    <x:row r="834">
      <x:c r="B834" s="14"/>
      <x:c r="C834" t="str">
        <x:f>IF(B834="","",TEXT(B834,"yyyy-mm"))</x:f>
      </x:c>
      <x:c r="G834" s="16"/>
    </x:row>
    <x:row r="835">
      <x:c r="B835" s="14"/>
      <x:c r="C835" t="str">
        <x:f>IF(B835="","",TEXT(B835,"yyyy-mm"))</x:f>
      </x:c>
      <x:c r="G835" s="16"/>
    </x:row>
    <x:row r="836">
      <x:c r="B836" s="14"/>
      <x:c r="C836" t="str">
        <x:f>IF(B836="","",TEXT(B836,"yyyy-mm"))</x:f>
      </x:c>
      <x:c r="G836" s="16"/>
    </x:row>
    <x:row r="837">
      <x:c r="B837" s="14"/>
      <x:c r="C837" t="str">
        <x:f>IF(B837="","",TEXT(B837,"yyyy-mm"))</x:f>
      </x:c>
      <x:c r="G837" s="16"/>
    </x:row>
    <x:row r="838">
      <x:c r="B838" s="14"/>
      <x:c r="C838" t="str">
        <x:f>IF(B838="","",TEXT(B838,"yyyy-mm"))</x:f>
      </x:c>
      <x:c r="G838" s="16"/>
    </x:row>
    <x:row r="839">
      <x:c r="B839" s="14"/>
      <x:c r="C839" t="str">
        <x:f>IF(B839="","",TEXT(B839,"yyyy-mm"))</x:f>
      </x:c>
      <x:c r="G839" s="16"/>
    </x:row>
    <x:row r="840">
      <x:c r="B840" s="14"/>
      <x:c r="C840" t="str">
        <x:f>IF(B840="","",TEXT(B840,"yyyy-mm"))</x:f>
      </x:c>
      <x:c r="G840" s="16"/>
    </x:row>
    <x:row r="841">
      <x:c r="B841" s="14"/>
      <x:c r="C841" t="str">
        <x:f>IF(B841="","",TEXT(B841,"yyyy-mm"))</x:f>
      </x:c>
      <x:c r="G841" s="16"/>
    </x:row>
    <x:row r="842">
      <x:c r="B842" s="14"/>
      <x:c r="C842" t="str">
        <x:f>IF(B842="","",TEXT(B842,"yyyy-mm"))</x:f>
      </x:c>
      <x:c r="G842" s="16"/>
    </x:row>
    <x:row r="843">
      <x:c r="B843" s="14"/>
      <x:c r="C843" t="str">
        <x:f>IF(B843="","",TEXT(B843,"yyyy-mm"))</x:f>
      </x:c>
      <x:c r="G843" s="16"/>
    </x:row>
    <x:row r="844">
      <x:c r="B844" s="14"/>
      <x:c r="C844" t="str">
        <x:f>IF(B844="","",TEXT(B844,"yyyy-mm"))</x:f>
      </x:c>
      <x:c r="G844" s="16"/>
    </x:row>
    <x:row r="845">
      <x:c r="B845" s="14"/>
      <x:c r="C845" t="str">
        <x:f>IF(B845="","",TEXT(B845,"yyyy-mm"))</x:f>
      </x:c>
      <x:c r="G845" s="16"/>
    </x:row>
    <x:row r="846">
      <x:c r="B846" s="14"/>
      <x:c r="C846" t="str">
        <x:f>IF(B846="","",TEXT(B846,"yyyy-mm"))</x:f>
      </x:c>
      <x:c r="G846" s="16"/>
    </x:row>
    <x:row r="847">
      <x:c r="B847" s="14"/>
      <x:c r="C847" t="str">
        <x:f>IF(B847="","",TEXT(B847,"yyyy-mm"))</x:f>
      </x:c>
      <x:c r="G847" s="16"/>
    </x:row>
    <x:row r="848">
      <x:c r="B848" s="14"/>
      <x:c r="C848" t="str">
        <x:f>IF(B848="","",TEXT(B848,"yyyy-mm"))</x:f>
      </x:c>
      <x:c r="G848" s="16"/>
    </x:row>
    <x:row r="849">
      <x:c r="B849" s="14"/>
      <x:c r="C849" t="str">
        <x:f>IF(B849="","",TEXT(B849,"yyyy-mm"))</x:f>
      </x:c>
      <x:c r="G849" s="16"/>
    </x:row>
    <x:row r="850">
      <x:c r="B850" s="14"/>
      <x:c r="C850" t="str">
        <x:f>IF(B850="","",TEXT(B850,"yyyy-mm"))</x:f>
      </x:c>
      <x:c r="G850" s="16"/>
    </x:row>
    <x:row r="851">
      <x:c r="B851" s="14"/>
      <x:c r="C851" t="str">
        <x:f>IF(B851="","",TEXT(B851,"yyyy-mm"))</x:f>
      </x:c>
      <x:c r="G851" s="16"/>
    </x:row>
    <x:row r="852">
      <x:c r="B852" s="14"/>
      <x:c r="C852" t="str">
        <x:f>IF(B852="","",TEXT(B852,"yyyy-mm"))</x:f>
      </x:c>
      <x:c r="G852" s="16"/>
    </x:row>
    <x:row r="853">
      <x:c r="B853" s="14"/>
      <x:c r="C853" t="str">
        <x:f>IF(B853="","",TEXT(B853,"yyyy-mm"))</x:f>
      </x:c>
      <x:c r="G853" s="16"/>
    </x:row>
    <x:row r="854">
      <x:c r="B854" s="14"/>
      <x:c r="C854" t="str">
        <x:f>IF(B854="","",TEXT(B854,"yyyy-mm"))</x:f>
      </x:c>
      <x:c r="G854" s="16"/>
    </x:row>
    <x:row r="855">
      <x:c r="B855" s="14"/>
      <x:c r="C855" t="str">
        <x:f>IF(B855="","",TEXT(B855,"yyyy-mm"))</x:f>
      </x:c>
      <x:c r="G855" s="16"/>
    </x:row>
    <x:row r="856">
      <x:c r="B856" s="14"/>
      <x:c r="C856" t="str">
        <x:f>IF(B856="","",TEXT(B856,"yyyy-mm"))</x:f>
      </x:c>
      <x:c r="G856" s="16"/>
    </x:row>
    <x:row r="857">
      <x:c r="B857" s="14"/>
      <x:c r="C857" t="str">
        <x:f>IF(B857="","",TEXT(B857,"yyyy-mm"))</x:f>
      </x:c>
      <x:c r="G857" s="16"/>
    </x:row>
    <x:row r="858">
      <x:c r="B858" s="14"/>
      <x:c r="C858" t="str">
        <x:f>IF(B858="","",TEXT(B858,"yyyy-mm"))</x:f>
      </x:c>
      <x:c r="G858" s="16"/>
    </x:row>
    <x:row r="859">
      <x:c r="B859" s="14"/>
      <x:c r="C859" t="str">
        <x:f>IF(B859="","",TEXT(B859,"yyyy-mm"))</x:f>
      </x:c>
      <x:c r="G859" s="16"/>
    </x:row>
    <x:row r="860">
      <x:c r="B860" s="14"/>
      <x:c r="C860" t="str">
        <x:f>IF(B860="","",TEXT(B860,"yyyy-mm"))</x:f>
      </x:c>
      <x:c r="G860" s="16"/>
    </x:row>
    <x:row r="861">
      <x:c r="B861" s="14"/>
      <x:c r="C861" t="str">
        <x:f>IF(B861="","",TEXT(B861,"yyyy-mm"))</x:f>
      </x:c>
      <x:c r="G861" s="16"/>
    </x:row>
    <x:row r="862">
      <x:c r="B862" s="14"/>
      <x:c r="C862" t="str">
        <x:f>IF(B862="","",TEXT(B862,"yyyy-mm"))</x:f>
      </x:c>
      <x:c r="G862" s="16"/>
    </x:row>
    <x:row r="863">
      <x:c r="B863" s="14"/>
      <x:c r="C863" t="str">
        <x:f>IF(B863="","",TEXT(B863,"yyyy-mm"))</x:f>
      </x:c>
      <x:c r="G863" s="16"/>
    </x:row>
    <x:row r="864">
      <x:c r="B864" s="14"/>
      <x:c r="C864" t="str">
        <x:f>IF(B864="","",TEXT(B864,"yyyy-mm"))</x:f>
      </x:c>
      <x:c r="G864" s="16"/>
    </x:row>
    <x:row r="865">
      <x:c r="B865" s="14"/>
      <x:c r="C865" t="str">
        <x:f>IF(B865="","",TEXT(B865,"yyyy-mm"))</x:f>
      </x:c>
      <x:c r="G865" s="16"/>
    </x:row>
    <x:row r="866">
      <x:c r="B866" s="14"/>
      <x:c r="C866" t="str">
        <x:f>IF(B866="","",TEXT(B866,"yyyy-mm"))</x:f>
      </x:c>
      <x:c r="G866" s="16"/>
    </x:row>
    <x:row r="867">
      <x:c r="B867" s="14"/>
      <x:c r="C867" t="str">
        <x:f>IF(B867="","",TEXT(B867,"yyyy-mm"))</x:f>
      </x:c>
      <x:c r="G867" s="16"/>
    </x:row>
    <x:row r="868">
      <x:c r="B868" s="14"/>
      <x:c r="C868" t="str">
        <x:f>IF(B868="","",TEXT(B868,"yyyy-mm"))</x:f>
      </x:c>
      <x:c r="G868" s="16"/>
    </x:row>
    <x:row r="869">
      <x:c r="B869" s="14"/>
      <x:c r="C869" t="str">
        <x:f>IF(B869="","",TEXT(B869,"yyyy-mm"))</x:f>
      </x:c>
      <x:c r="G869" s="16"/>
    </x:row>
    <x:row r="870">
      <x:c r="B870" s="14"/>
      <x:c r="C870" t="str">
        <x:f>IF(B870="","",TEXT(B870,"yyyy-mm"))</x:f>
      </x:c>
      <x:c r="G870" s="16"/>
    </x:row>
    <x:row r="871">
      <x:c r="B871" s="14"/>
      <x:c r="C871" t="str">
        <x:f>IF(B871="","",TEXT(B871,"yyyy-mm"))</x:f>
      </x:c>
      <x:c r="G871" s="16"/>
    </x:row>
    <x:row r="872">
      <x:c r="B872" s="14"/>
      <x:c r="C872" t="str">
        <x:f>IF(B872="","",TEXT(B872,"yyyy-mm"))</x:f>
      </x:c>
      <x:c r="G872" s="16"/>
    </x:row>
    <x:row r="873">
      <x:c r="B873" s="14"/>
      <x:c r="C873" t="str">
        <x:f>IF(B873="","",TEXT(B873,"yyyy-mm"))</x:f>
      </x:c>
      <x:c r="G873" s="16"/>
    </x:row>
    <x:row r="874">
      <x:c r="B874" s="14"/>
      <x:c r="C874" t="str">
        <x:f>IF(B874="","",TEXT(B874,"yyyy-mm"))</x:f>
      </x:c>
      <x:c r="G874" s="16"/>
    </x:row>
    <x:row r="875">
      <x:c r="B875" s="14"/>
      <x:c r="C875" t="str">
        <x:f>IF(B875="","",TEXT(B875,"yyyy-mm"))</x:f>
      </x:c>
      <x:c r="G875" s="16"/>
    </x:row>
    <x:row r="876">
      <x:c r="B876" s="14"/>
      <x:c r="C876" t="str">
        <x:f>IF(B876="","",TEXT(B876,"yyyy-mm"))</x:f>
      </x:c>
      <x:c r="G876" s="16"/>
    </x:row>
    <x:row r="877">
      <x:c r="B877" s="14"/>
      <x:c r="C877" t="str">
        <x:f>IF(B877="","",TEXT(B877,"yyyy-mm"))</x:f>
      </x:c>
      <x:c r="G877" s="16"/>
    </x:row>
    <x:row r="878">
      <x:c r="B878" s="14"/>
      <x:c r="C878" t="str">
        <x:f>IF(B878="","",TEXT(B878,"yyyy-mm"))</x:f>
      </x:c>
      <x:c r="G878" s="16"/>
    </x:row>
    <x:row r="879">
      <x:c r="B879" s="14"/>
      <x:c r="C879" t="str">
        <x:f>IF(B879="","",TEXT(B879,"yyyy-mm"))</x:f>
      </x:c>
      <x:c r="G879" s="16"/>
    </x:row>
    <x:row r="880">
      <x:c r="B880" s="14"/>
      <x:c r="C880" t="str">
        <x:f>IF(B880="","",TEXT(B880,"yyyy-mm"))</x:f>
      </x:c>
      <x:c r="G880" s="16"/>
    </x:row>
    <x:row r="881">
      <x:c r="B881" s="14"/>
      <x:c r="C881" t="str">
        <x:f>IF(B881="","",TEXT(B881,"yyyy-mm"))</x:f>
      </x:c>
      <x:c r="G881" s="16"/>
    </x:row>
    <x:row r="882">
      <x:c r="B882" s="14"/>
      <x:c r="C882" t="str">
        <x:f>IF(B882="","",TEXT(B882,"yyyy-mm"))</x:f>
      </x:c>
      <x:c r="G882" s="16"/>
    </x:row>
    <x:row r="883">
      <x:c r="B883" s="14"/>
      <x:c r="C883" t="str">
        <x:f>IF(B883="","",TEXT(B883,"yyyy-mm"))</x:f>
      </x:c>
      <x:c r="G883" s="16"/>
    </x:row>
    <x:row r="884">
      <x:c r="B884" s="14"/>
      <x:c r="C884" t="str">
        <x:f>IF(B884="","",TEXT(B884,"yyyy-mm"))</x:f>
      </x:c>
      <x:c r="G884" s="16"/>
    </x:row>
    <x:row r="885">
      <x:c r="B885" s="14"/>
      <x:c r="C885" t="str">
        <x:f>IF(B885="","",TEXT(B885,"yyyy-mm"))</x:f>
      </x:c>
      <x:c r="G885" s="16"/>
    </x:row>
    <x:row r="886">
      <x:c r="B886" s="14"/>
      <x:c r="C886" t="str">
        <x:f>IF(B886="","",TEXT(B886,"yyyy-mm"))</x:f>
      </x:c>
      <x:c r="G886" s="16"/>
    </x:row>
    <x:row r="887">
      <x:c r="B887" s="14"/>
      <x:c r="C887" t="str">
        <x:f>IF(B887="","",TEXT(B887,"yyyy-mm"))</x:f>
      </x:c>
      <x:c r="G887" s="16"/>
    </x:row>
    <x:row r="888">
      <x:c r="B888" s="14"/>
      <x:c r="C888" t="str">
        <x:f>IF(B888="","",TEXT(B888,"yyyy-mm"))</x:f>
      </x:c>
      <x:c r="G888" s="16"/>
    </x:row>
    <x:row r="889">
      <x:c r="B889" s="14"/>
      <x:c r="C889" t="str">
        <x:f>IF(B889="","",TEXT(B889,"yyyy-mm"))</x:f>
      </x:c>
      <x:c r="G889" s="16"/>
    </x:row>
    <x:row r="890">
      <x:c r="B890" s="14"/>
      <x:c r="C890" t="str">
        <x:f>IF(B890="","",TEXT(B890,"yyyy-mm"))</x:f>
      </x:c>
      <x:c r="G890" s="16"/>
    </x:row>
    <x:row r="891">
      <x:c r="B891" s="14"/>
      <x:c r="C891" t="str">
        <x:f>IF(B891="","",TEXT(B891,"yyyy-mm"))</x:f>
      </x:c>
      <x:c r="G891" s="16"/>
    </x:row>
    <x:row r="892">
      <x:c r="B892" s="14"/>
      <x:c r="C892" t="str">
        <x:f>IF(B892="","",TEXT(B892,"yyyy-mm"))</x:f>
      </x:c>
      <x:c r="G892" s="16"/>
    </x:row>
    <x:row r="893">
      <x:c r="B893" s="14"/>
      <x:c r="C893" t="str">
        <x:f>IF(B893="","",TEXT(B893,"yyyy-mm"))</x:f>
      </x:c>
      <x:c r="G893" s="16"/>
    </x:row>
    <x:row r="894">
      <x:c r="B894" s="14"/>
      <x:c r="C894" t="str">
        <x:f>IF(B894="","",TEXT(B894,"yyyy-mm"))</x:f>
      </x:c>
      <x:c r="G894" s="16"/>
    </x:row>
    <x:row r="895">
      <x:c r="B895" s="14"/>
      <x:c r="C895" t="str">
        <x:f>IF(B895="","",TEXT(B895,"yyyy-mm"))</x:f>
      </x:c>
      <x:c r="G895" s="16"/>
    </x:row>
    <x:row r="896">
      <x:c r="B896" s="14"/>
      <x:c r="C896" t="str">
        <x:f>IF(B896="","",TEXT(B896,"yyyy-mm"))</x:f>
      </x:c>
      <x:c r="G896" s="16"/>
    </x:row>
    <x:row r="897">
      <x:c r="B897" s="14"/>
      <x:c r="C897" t="str">
        <x:f>IF(B897="","",TEXT(B897,"yyyy-mm"))</x:f>
      </x:c>
      <x:c r="G897" s="16"/>
    </x:row>
    <x:row r="898">
      <x:c r="B898" s="14"/>
      <x:c r="C898" t="str">
        <x:f>IF(B898="","",TEXT(B898,"yyyy-mm"))</x:f>
      </x:c>
      <x:c r="G898" s="16"/>
    </x:row>
    <x:row r="899">
      <x:c r="B899" s="14"/>
      <x:c r="C899" t="str">
        <x:f>IF(B899="","",TEXT(B899,"yyyy-mm"))</x:f>
      </x:c>
      <x:c r="G899" s="16"/>
    </x:row>
    <x:row r="900">
      <x:c r="B900" s="14"/>
      <x:c r="C900" t="str">
        <x:f>IF(B900="","",TEXT(B900,"yyyy-mm"))</x:f>
      </x:c>
      <x:c r="G900" s="16"/>
    </x:row>
    <x:row r="901">
      <x:c r="B901" s="14"/>
      <x:c r="C901" t="str">
        <x:f>IF(B901="","",TEXT(B901,"yyyy-mm"))</x:f>
      </x:c>
      <x:c r="G901" s="16"/>
    </x:row>
    <x:row r="902">
      <x:c r="B902" s="14"/>
      <x:c r="C902" t="str">
        <x:f>IF(B902="","",TEXT(B902,"yyyy-mm"))</x:f>
      </x:c>
      <x:c r="G902" s="16"/>
    </x:row>
    <x:row r="903">
      <x:c r="B903" s="14"/>
      <x:c r="C903" t="str">
        <x:f>IF(B903="","",TEXT(B903,"yyyy-mm"))</x:f>
      </x:c>
      <x:c r="G903" s="16"/>
    </x:row>
    <x:row r="904">
      <x:c r="B904" s="14"/>
      <x:c r="C904" t="str">
        <x:f>IF(B904="","",TEXT(B904,"yyyy-mm"))</x:f>
      </x:c>
      <x:c r="G904" s="16"/>
    </x:row>
    <x:row r="905">
      <x:c r="B905" s="14"/>
      <x:c r="C905" t="str">
        <x:f>IF(B905="","",TEXT(B905,"yyyy-mm"))</x:f>
      </x:c>
      <x:c r="G905" s="16"/>
    </x:row>
    <x:row r="906">
      <x:c r="B906" s="14"/>
      <x:c r="C906" t="str">
        <x:f>IF(B906="","",TEXT(B906,"yyyy-mm"))</x:f>
      </x:c>
      <x:c r="G906" s="16"/>
    </x:row>
    <x:row r="907">
      <x:c r="B907" s="14"/>
      <x:c r="C907" t="str">
        <x:f>IF(B907="","",TEXT(B907,"yyyy-mm"))</x:f>
      </x:c>
      <x:c r="G907" s="16"/>
    </x:row>
    <x:row r="908">
      <x:c r="B908" s="14"/>
      <x:c r="C908" t="str">
        <x:f>IF(B908="","",TEXT(B908,"yyyy-mm"))</x:f>
      </x:c>
      <x:c r="G908" s="16"/>
    </x:row>
    <x:row r="909">
      <x:c r="B909" s="14"/>
      <x:c r="C909" t="str">
        <x:f>IF(B909="","",TEXT(B909,"yyyy-mm"))</x:f>
      </x:c>
      <x:c r="G909" s="16"/>
    </x:row>
    <x:row r="910">
      <x:c r="B910" s="14"/>
      <x:c r="C910" t="str">
        <x:f>IF(B910="","",TEXT(B910,"yyyy-mm"))</x:f>
      </x:c>
      <x:c r="G910" s="16"/>
    </x:row>
    <x:row r="911">
      <x:c r="B911" s="14"/>
      <x:c r="C911" t="str">
        <x:f>IF(B911="","",TEXT(B911,"yyyy-mm"))</x:f>
      </x:c>
      <x:c r="G911" s="16"/>
    </x:row>
    <x:row r="912">
      <x:c r="B912" s="14"/>
      <x:c r="C912" t="str">
        <x:f>IF(B912="","",TEXT(B912,"yyyy-mm"))</x:f>
      </x:c>
      <x:c r="G912" s="16"/>
    </x:row>
    <x:row r="913">
      <x:c r="B913" s="14"/>
      <x:c r="C913" t="str">
        <x:f>IF(B913="","",TEXT(B913,"yyyy-mm"))</x:f>
      </x:c>
      <x:c r="G913" s="16"/>
    </x:row>
    <x:row r="914">
      <x:c r="B914" s="14"/>
      <x:c r="C914" t="str">
        <x:f>IF(B914="","",TEXT(B914,"yyyy-mm"))</x:f>
      </x:c>
      <x:c r="G914" s="16"/>
    </x:row>
    <x:row r="915">
      <x:c r="B915" s="14"/>
      <x:c r="C915" t="str">
        <x:f>IF(B915="","",TEXT(B915,"yyyy-mm"))</x:f>
      </x:c>
      <x:c r="G915" s="16"/>
    </x:row>
    <x:row r="916">
      <x:c r="B916" s="14"/>
      <x:c r="C916" t="str">
        <x:f>IF(B916="","",TEXT(B916,"yyyy-mm"))</x:f>
      </x:c>
      <x:c r="G916" s="16"/>
    </x:row>
    <x:row r="917">
      <x:c r="B917" s="14"/>
      <x:c r="C917" t="str">
        <x:f>IF(B917="","",TEXT(B917,"yyyy-mm"))</x:f>
      </x:c>
      <x:c r="G917" s="16"/>
    </x:row>
    <x:row r="918">
      <x:c r="B918" s="14"/>
      <x:c r="C918" t="str">
        <x:f>IF(B918="","",TEXT(B918,"yyyy-mm"))</x:f>
      </x:c>
      <x:c r="G918" s="16"/>
    </x:row>
    <x:row r="919">
      <x:c r="B919" s="14"/>
      <x:c r="C919" t="str">
        <x:f>IF(B919="","",TEXT(B919,"yyyy-mm"))</x:f>
      </x:c>
      <x:c r="G919" s="16"/>
    </x:row>
    <x:row r="920">
      <x:c r="B920" s="14"/>
      <x:c r="C920" t="str">
        <x:f>IF(B920="","",TEXT(B920,"yyyy-mm"))</x:f>
      </x:c>
      <x:c r="G920" s="16"/>
    </x:row>
    <x:row r="921">
      <x:c r="B921" s="14"/>
      <x:c r="C921" t="str">
        <x:f>IF(B921="","",TEXT(B921,"yyyy-mm"))</x:f>
      </x:c>
      <x:c r="G921" s="16"/>
    </x:row>
    <x:row r="922">
      <x:c r="B922" s="14"/>
      <x:c r="C922" t="str">
        <x:f>IF(B922="","",TEXT(B922,"yyyy-mm"))</x:f>
      </x:c>
      <x:c r="G922" s="16"/>
    </x:row>
    <x:row r="923">
      <x:c r="B923" s="14"/>
      <x:c r="C923" t="str">
        <x:f>IF(B923="","",TEXT(B923,"yyyy-mm"))</x:f>
      </x:c>
      <x:c r="G923" s="16"/>
    </x:row>
    <x:row r="924">
      <x:c r="B924" s="14"/>
      <x:c r="C924" t="str">
        <x:f>IF(B924="","",TEXT(B924,"yyyy-mm"))</x:f>
      </x:c>
      <x:c r="G924" s="16"/>
    </x:row>
    <x:row r="925">
      <x:c r="B925" s="14"/>
      <x:c r="C925" t="str">
        <x:f>IF(B925="","",TEXT(B925,"yyyy-mm"))</x:f>
      </x:c>
      <x:c r="G925" s="16"/>
    </x:row>
    <x:row r="926">
      <x:c r="B926" s="14"/>
      <x:c r="C926" t="str">
        <x:f>IF(B926="","",TEXT(B926,"yyyy-mm"))</x:f>
      </x:c>
      <x:c r="G926" s="16"/>
    </x:row>
    <x:row r="927">
      <x:c r="B927" s="14"/>
      <x:c r="C927" t="str">
        <x:f>IF(B927="","",TEXT(B927,"yyyy-mm"))</x:f>
      </x:c>
      <x:c r="G927" s="16"/>
    </x:row>
    <x:row r="928">
      <x:c r="B928" s="14"/>
      <x:c r="C928" t="str">
        <x:f>IF(B928="","",TEXT(B928,"yyyy-mm"))</x:f>
      </x:c>
      <x:c r="G928" s="16"/>
    </x:row>
    <x:row r="929">
      <x:c r="B929" s="14"/>
      <x:c r="C929" t="str">
        <x:f>IF(B929="","",TEXT(B929,"yyyy-mm"))</x:f>
      </x:c>
      <x:c r="G929" s="16"/>
    </x:row>
    <x:row r="930">
      <x:c r="B930" s="14"/>
      <x:c r="C930" t="str">
        <x:f>IF(B930="","",TEXT(B930,"yyyy-mm"))</x:f>
      </x:c>
      <x:c r="G930" s="16"/>
    </x:row>
    <x:row r="931">
      <x:c r="B931" s="14"/>
      <x:c r="C931" t="str">
        <x:f>IF(B931="","",TEXT(B931,"yyyy-mm"))</x:f>
      </x:c>
      <x:c r="G931" s="16"/>
    </x:row>
    <x:row r="932">
      <x:c r="B932" s="14"/>
      <x:c r="C932" t="str">
        <x:f>IF(B932="","",TEXT(B932,"yyyy-mm"))</x:f>
      </x:c>
      <x:c r="G932" s="16"/>
    </x:row>
    <x:row r="933">
      <x:c r="B933" s="14"/>
      <x:c r="C933" t="str">
        <x:f>IF(B933="","",TEXT(B933,"yyyy-mm"))</x:f>
      </x:c>
      <x:c r="G933" s="16"/>
    </x:row>
    <x:row r="934">
      <x:c r="B934" s="14"/>
      <x:c r="C934" t="str">
        <x:f>IF(B934="","",TEXT(B934,"yyyy-mm"))</x:f>
      </x:c>
      <x:c r="G934" s="16"/>
    </x:row>
    <x:row r="935">
      <x:c r="B935" s="14"/>
      <x:c r="C935" t="str">
        <x:f>IF(B935="","",TEXT(B935,"yyyy-mm"))</x:f>
      </x:c>
      <x:c r="G935" s="16"/>
    </x:row>
    <x:row r="936">
      <x:c r="B936" s="14"/>
      <x:c r="C936" t="str">
        <x:f>IF(B936="","",TEXT(B936,"yyyy-mm"))</x:f>
      </x:c>
      <x:c r="G936" s="16"/>
    </x:row>
    <x:row r="937">
      <x:c r="B937" s="14"/>
      <x:c r="C937" t="str">
        <x:f>IF(B937="","",TEXT(B937,"yyyy-mm"))</x:f>
      </x:c>
      <x:c r="G937" s="16"/>
    </x:row>
    <x:row r="938">
      <x:c r="B938" s="14"/>
      <x:c r="C938" t="str">
        <x:f>IF(B938="","",TEXT(B938,"yyyy-mm"))</x:f>
      </x:c>
      <x:c r="G938" s="16"/>
    </x:row>
    <x:row r="939">
      <x:c r="B939" s="14"/>
      <x:c r="C939" t="str">
        <x:f>IF(B939="","",TEXT(B939,"yyyy-mm"))</x:f>
      </x:c>
      <x:c r="G939" s="16"/>
    </x:row>
    <x:row r="940">
      <x:c r="B940" s="14"/>
      <x:c r="C940" t="str">
        <x:f>IF(B940="","",TEXT(B940,"yyyy-mm"))</x:f>
      </x:c>
      <x:c r="G940" s="16"/>
    </x:row>
    <x:row r="941">
      <x:c r="B941" s="14"/>
      <x:c r="C941" t="str">
        <x:f>IF(B941="","",TEXT(B941,"yyyy-mm"))</x:f>
      </x:c>
      <x:c r="G941" s="16"/>
    </x:row>
    <x:row r="942">
      <x:c r="B942" s="14"/>
      <x:c r="C942" t="str">
        <x:f>IF(B942="","",TEXT(B942,"yyyy-mm"))</x:f>
      </x:c>
      <x:c r="G942" s="16"/>
    </x:row>
    <x:row r="943">
      <x:c r="B943" s="14"/>
      <x:c r="C943" t="str">
        <x:f>IF(B943="","",TEXT(B943,"yyyy-mm"))</x:f>
      </x:c>
      <x:c r="G943" s="16"/>
    </x:row>
    <x:row r="944">
      <x:c r="B944" s="14"/>
      <x:c r="C944" t="str">
        <x:f>IF(B944="","",TEXT(B944,"yyyy-mm"))</x:f>
      </x:c>
      <x:c r="G944" s="16"/>
    </x:row>
    <x:row r="945">
      <x:c r="B945" s="14"/>
      <x:c r="C945" t="str">
        <x:f>IF(B945="","",TEXT(B945,"yyyy-mm"))</x:f>
      </x:c>
      <x:c r="G945" s="16"/>
    </x:row>
    <x:row r="946">
      <x:c r="B946" s="14"/>
      <x:c r="C946" t="str">
        <x:f>IF(B946="","",TEXT(B946,"yyyy-mm"))</x:f>
      </x:c>
      <x:c r="G946" s="16"/>
    </x:row>
    <x:row r="947">
      <x:c r="B947" s="14"/>
      <x:c r="C947" t="str">
        <x:f>IF(B947="","",TEXT(B947,"yyyy-mm"))</x:f>
      </x:c>
      <x:c r="G947" s="16"/>
    </x:row>
    <x:row r="948">
      <x:c r="B948" s="14"/>
      <x:c r="C948" t="str">
        <x:f>IF(B948="","",TEXT(B948,"yyyy-mm"))</x:f>
      </x:c>
      <x:c r="G948" s="16"/>
    </x:row>
    <x:row r="949">
      <x:c r="B949" s="14"/>
      <x:c r="C949" t="str">
        <x:f>IF(B949="","",TEXT(B949,"yyyy-mm"))</x:f>
      </x:c>
      <x:c r="G949" s="16"/>
    </x:row>
    <x:row r="950">
      <x:c r="B950" s="14"/>
      <x:c r="C950" t="str">
        <x:f>IF(B950="","",TEXT(B950,"yyyy-mm"))</x:f>
      </x:c>
      <x:c r="G950" s="16"/>
    </x:row>
    <x:row r="951">
      <x:c r="B951" s="14"/>
      <x:c r="C951" t="str">
        <x:f>IF(B951="","",TEXT(B951,"yyyy-mm"))</x:f>
      </x:c>
      <x:c r="G951" s="16"/>
    </x:row>
    <x:row r="952">
      <x:c r="B952" s="14"/>
      <x:c r="C952" t="str">
        <x:f>IF(B952="","",TEXT(B952,"yyyy-mm"))</x:f>
      </x:c>
      <x:c r="G952" s="16"/>
    </x:row>
    <x:row r="953">
      <x:c r="B953" s="14"/>
      <x:c r="C953" t="str">
        <x:f>IF(B953="","",TEXT(B953,"yyyy-mm"))</x:f>
      </x:c>
      <x:c r="G953" s="16"/>
    </x:row>
    <x:row r="954">
      <x:c r="B954" s="14"/>
      <x:c r="C954" t="str">
        <x:f>IF(B954="","",TEXT(B954,"yyyy-mm"))</x:f>
      </x:c>
      <x:c r="G954" s="16"/>
    </x:row>
    <x:row r="955">
      <x:c r="B955" s="14"/>
      <x:c r="C955" t="str">
        <x:f>IF(B955="","",TEXT(B955,"yyyy-mm"))</x:f>
      </x:c>
      <x:c r="G955" s="16"/>
    </x:row>
    <x:row r="956">
      <x:c r="B956" s="14"/>
      <x:c r="C956" t="str">
        <x:f>IF(B956="","",TEXT(B956,"yyyy-mm"))</x:f>
      </x:c>
      <x:c r="G956" s="16"/>
    </x:row>
    <x:row r="957">
      <x:c r="B957" s="14"/>
      <x:c r="C957" t="str">
        <x:f>IF(B957="","",TEXT(B957,"yyyy-mm"))</x:f>
      </x:c>
      <x:c r="G957" s="16"/>
    </x:row>
    <x:row r="958">
      <x:c r="B958" s="14"/>
      <x:c r="C958" t="str">
        <x:f>IF(B958="","",TEXT(B958,"yyyy-mm"))</x:f>
      </x:c>
      <x:c r="G958" s="16"/>
    </x:row>
    <x:row r="959">
      <x:c r="B959" s="14"/>
      <x:c r="C959" t="str">
        <x:f>IF(B959="","",TEXT(B959,"yyyy-mm"))</x:f>
      </x:c>
      <x:c r="G959" s="16"/>
    </x:row>
    <x:row r="960">
      <x:c r="B960" s="14"/>
      <x:c r="C960" t="str">
        <x:f>IF(B960="","",TEXT(B960,"yyyy-mm"))</x:f>
      </x:c>
      <x:c r="G960" s="16"/>
    </x:row>
    <x:row r="961">
      <x:c r="B961" s="14"/>
      <x:c r="C961" t="str">
        <x:f>IF(B961="","",TEXT(B961,"yyyy-mm"))</x:f>
      </x:c>
      <x:c r="G961" s="16"/>
    </x:row>
    <x:row r="962">
      <x:c r="B962" s="14"/>
      <x:c r="C962" t="str">
        <x:f>IF(B962="","",TEXT(B962,"yyyy-mm"))</x:f>
      </x:c>
      <x:c r="G962" s="16"/>
    </x:row>
    <x:row r="963">
      <x:c r="B963" s="14"/>
      <x:c r="C963" t="str">
        <x:f>IF(B963="","",TEXT(B963,"yyyy-mm"))</x:f>
      </x:c>
      <x:c r="G963" s="16"/>
    </x:row>
    <x:row r="964">
      <x:c r="B964" s="14"/>
      <x:c r="C964" t="str">
        <x:f>IF(B964="","",TEXT(B964,"yyyy-mm"))</x:f>
      </x:c>
      <x:c r="G964" s="16"/>
    </x:row>
    <x:row r="965">
      <x:c r="B965" s="14"/>
      <x:c r="C965" t="str">
        <x:f>IF(B965="","",TEXT(B965,"yyyy-mm"))</x:f>
      </x:c>
      <x:c r="G965" s="16"/>
    </x:row>
    <x:row r="966">
      <x:c r="B966" s="14"/>
      <x:c r="C966" t="str">
        <x:f>IF(B966="","",TEXT(B966,"yyyy-mm"))</x:f>
      </x:c>
      <x:c r="G966" s="16"/>
    </x:row>
    <x:row r="967">
      <x:c r="B967" s="14"/>
      <x:c r="C967" t="str">
        <x:f>IF(B967="","",TEXT(B967,"yyyy-mm"))</x:f>
      </x:c>
      <x:c r="G967" s="16"/>
    </x:row>
    <x:row r="968">
      <x:c r="B968" s="14"/>
      <x:c r="C968" t="str">
        <x:f>IF(B968="","",TEXT(B968,"yyyy-mm"))</x:f>
      </x:c>
      <x:c r="G968" s="16"/>
    </x:row>
    <x:row r="969">
      <x:c r="B969" s="14"/>
      <x:c r="C969" t="str">
        <x:f>IF(B969="","",TEXT(B969,"yyyy-mm"))</x:f>
      </x:c>
      <x:c r="G969" s="16"/>
    </x:row>
    <x:row r="970">
      <x:c r="B970" s="14"/>
      <x:c r="C970" t="str">
        <x:f>IF(B970="","",TEXT(B970,"yyyy-mm"))</x:f>
      </x:c>
      <x:c r="G970" s="16"/>
    </x:row>
    <x:row r="971">
      <x:c r="B971" s="14"/>
      <x:c r="C971" t="str">
        <x:f>IF(B971="","",TEXT(B971,"yyyy-mm"))</x:f>
      </x:c>
      <x:c r="G971" s="16"/>
    </x:row>
    <x:row r="972">
      <x:c r="B972" s="14"/>
      <x:c r="C972" t="str">
        <x:f>IF(B972="","",TEXT(B972,"yyyy-mm"))</x:f>
      </x:c>
      <x:c r="G972" s="16"/>
    </x:row>
    <x:row r="973">
      <x:c r="B973" s="14"/>
      <x:c r="C973" t="str">
        <x:f>IF(B973="","",TEXT(B973,"yyyy-mm"))</x:f>
      </x:c>
      <x:c r="G973" s="16"/>
    </x:row>
    <x:row r="974">
      <x:c r="B974" s="14"/>
      <x:c r="C974" t="str">
        <x:f>IF(B974="","",TEXT(B974,"yyyy-mm"))</x:f>
      </x:c>
      <x:c r="G974" s="16"/>
    </x:row>
    <x:row r="975">
      <x:c r="B975" s="14"/>
      <x:c r="C975" t="str">
        <x:f>IF(B975="","",TEXT(B975,"yyyy-mm"))</x:f>
      </x:c>
      <x:c r="G975" s="16"/>
    </x:row>
    <x:row r="976">
      <x:c r="B976" s="14"/>
      <x:c r="C976" t="str">
        <x:f>IF(B976="","",TEXT(B976,"yyyy-mm"))</x:f>
      </x:c>
      <x:c r="G976" s="16"/>
    </x:row>
    <x:row r="977">
      <x:c r="B977" s="14"/>
      <x:c r="C977" t="str">
        <x:f>IF(B977="","",TEXT(B977,"yyyy-mm"))</x:f>
      </x:c>
      <x:c r="G977" s="16"/>
    </x:row>
    <x:row r="978">
      <x:c r="B978" s="14"/>
      <x:c r="C978" t="str">
        <x:f>IF(B978="","",TEXT(B978,"yyyy-mm"))</x:f>
      </x:c>
      <x:c r="G978" s="16"/>
    </x:row>
    <x:row r="979">
      <x:c r="B979" s="14"/>
      <x:c r="C979" t="str">
        <x:f>IF(B979="","",TEXT(B979,"yyyy-mm"))</x:f>
      </x:c>
      <x:c r="G979" s="16"/>
    </x:row>
    <x:row r="980">
      <x:c r="B980" s="14"/>
      <x:c r="C980" t="str">
        <x:f>IF(B980="","",TEXT(B980,"yyyy-mm"))</x:f>
      </x:c>
      <x:c r="G980" s="16"/>
    </x:row>
    <x:row r="981">
      <x:c r="B981" s="14"/>
      <x:c r="C981" t="str">
        <x:f>IF(B981="","",TEXT(B981,"yyyy-mm"))</x:f>
      </x:c>
      <x:c r="G981" s="16"/>
    </x:row>
    <x:row r="982">
      <x:c r="B982" s="14"/>
      <x:c r="C982" t="str">
        <x:f>IF(B982="","",TEXT(B982,"yyyy-mm"))</x:f>
      </x:c>
      <x:c r="G982" s="16"/>
    </x:row>
    <x:row r="983">
      <x:c r="B983" s="14"/>
      <x:c r="C983" t="str">
        <x:f>IF(B983="","",TEXT(B983,"yyyy-mm"))</x:f>
      </x:c>
      <x:c r="G983" s="16"/>
    </x:row>
    <x:row r="984">
      <x:c r="B984" s="14"/>
      <x:c r="C984" t="str">
        <x:f>IF(B984="","",TEXT(B984,"yyyy-mm"))</x:f>
      </x:c>
      <x:c r="G984" s="16"/>
    </x:row>
    <x:row r="985">
      <x:c r="B985" s="14"/>
      <x:c r="C985" t="str">
        <x:f>IF(B985="","",TEXT(B985,"yyyy-mm"))</x:f>
      </x:c>
      <x:c r="G985" s="16"/>
    </x:row>
    <x:row r="986">
      <x:c r="B986" s="14"/>
      <x:c r="C986" t="str">
        <x:f>IF(B986="","",TEXT(B986,"yyyy-mm"))</x:f>
      </x:c>
      <x:c r="G986" s="16"/>
    </x:row>
    <x:row r="987">
      <x:c r="B987" s="14"/>
      <x:c r="C987" t="str">
        <x:f>IF(B987="","",TEXT(B987,"yyyy-mm"))</x:f>
      </x:c>
      <x:c r="G987" s="16"/>
    </x:row>
    <x:row r="988">
      <x:c r="B988" s="14"/>
      <x:c r="C988" t="str">
        <x:f>IF(B988="","",TEXT(B988,"yyyy-mm"))</x:f>
      </x:c>
      <x:c r="G988" s="16"/>
    </x:row>
    <x:row r="989">
      <x:c r="B989" s="14"/>
      <x:c r="C989" t="str">
        <x:f>IF(B989="","",TEXT(B989,"yyyy-mm"))</x:f>
      </x:c>
      <x:c r="G989" s="16"/>
    </x:row>
    <x:row r="990">
      <x:c r="B990" s="14"/>
      <x:c r="C990" t="str">
        <x:f>IF(B990="","",TEXT(B990,"yyyy-mm"))</x:f>
      </x:c>
      <x:c r="G990" s="16"/>
    </x:row>
    <x:row r="991">
      <x:c r="B991" s="14"/>
      <x:c r="C991" t="str">
        <x:f>IF(B991="","",TEXT(B991,"yyyy-mm"))</x:f>
      </x:c>
      <x:c r="G991" s="16"/>
    </x:row>
    <x:row r="992">
      <x:c r="B992" s="14"/>
      <x:c r="C992" t="str">
        <x:f>IF(B992="","",TEXT(B992,"yyyy-mm"))</x:f>
      </x:c>
      <x:c r="G992" s="16"/>
    </x:row>
    <x:row r="993">
      <x:c r="B993" s="14"/>
      <x:c r="C993" t="str">
        <x:f>IF(B993="","",TEXT(B993,"yyyy-mm"))</x:f>
      </x:c>
      <x:c r="G993" s="16"/>
    </x:row>
    <x:row r="994">
      <x:c r="B994" s="14"/>
      <x:c r="C994" t="str">
        <x:f>IF(B994="","",TEXT(B994,"yyyy-mm"))</x:f>
      </x:c>
      <x:c r="G994" s="16"/>
    </x:row>
    <x:row r="995">
      <x:c r="B995" s="14"/>
      <x:c r="C995" t="str">
        <x:f>IF(B995="","",TEXT(B995,"yyyy-mm"))</x:f>
      </x:c>
      <x:c r="G995" s="16"/>
    </x:row>
    <x:row r="996">
      <x:c r="B996" s="14"/>
      <x:c r="C996" t="str">
        <x:f>IF(B996="","",TEXT(B996,"yyyy-mm"))</x:f>
      </x:c>
      <x:c r="G996" s="16"/>
    </x:row>
    <x:row r="997">
      <x:c r="B997" s="14"/>
      <x:c r="C997" t="str">
        <x:f>IF(B997="","",TEXT(B997,"yyyy-mm"))</x:f>
      </x:c>
      <x:c r="G997" s="16"/>
    </x:row>
    <x:row r="998">
      <x:c r="B998" s="14"/>
      <x:c r="C998" t="str">
        <x:f>IF(B998="","",TEXT(B998,"yyyy-mm"))</x:f>
      </x:c>
      <x:c r="G998" s="16"/>
    </x:row>
    <x:row r="999">
      <x:c r="B999" s="14"/>
      <x:c r="C999" t="str">
        <x:f>IF(B999="","",TEXT(B999,"yyyy-mm"))</x:f>
      </x:c>
      <x:c r="G999" s="16"/>
    </x:row>
    <x:row r="1000">
      <x:c r="B1000" s="14"/>
      <x:c r="C1000" t="str">
        <x:f>IF(B1000="","",TEXT(B1000,"yyyy-mm"))</x:f>
      </x:c>
      <x:c r="G1000" s="16"/>
    </x:row>
  </x:sheetData>
  <x:dataValidations count="2">
    <x:dataValidation type="list" sqref="E2:E1000">
      <x:formula1>"Ingreso,Gasto,Ahorro,Transferencia interna"</x:formula1>
    </x:dataValidation>
    <x:dataValidation type="list" sqref="H2:H1000">
      <x:formula1>"Tarjeta,Transferencia,Efectivo,Bizum,Domiciliación,PayPal,Otro"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419309a28f426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0" hidden="0" customWidth="1"/>
    <x:col min="4" max="4" width="18" hidden="0" customWidth="1"/>
    <x:col min="5" max="5" width="10" hidden="0" customWidth="1"/>
    <x:col min="6" max="6" width="18" hidden="0" customWidth="1"/>
    <x:col min="7" max="7" width="12" hidden="0" customWidth="1"/>
    <x:col min="8" max="8" width="8" hidden="0" customWidth="1"/>
    <x:col min="9" max="9" width="8" hidden="0" customWidth="1"/>
    <x:col min="10" max="10" width="55" hidden="0" customWidth="1"/>
    <x:col min="11" max="11" width="18" hidden="0" customWidth="1"/>
    <x:col min="12" max="12" width="18" hidden="0" customWidth="1"/>
  </x:cols>
  <x:sheetData>
    <x:row r="1">
      <x:c r="A1" s="6" t="str">
        <x:v>categoriaId</x:v>
      </x:c>
      <x:c r="B1" s="6" t="str">
        <x:v>nombre</x:v>
      </x:c>
      <x:c r="C1" s="6" t="str">
        <x:v>presupuestoMensual</x:v>
      </x:c>
      <x:c r="D1" s="6" t="str">
        <x:v>tipoHabitual</x:v>
      </x:c>
      <x:c r="E1" s="6" t="str">
        <x:v>activo</x:v>
      </x:c>
      <x:c r="F1" s="6" t="str">
        <x:v>grupo</x:v>
      </x:c>
      <x:c r="G1" s="6" t="str">
        <x:v>color</x:v>
      </x:c>
      <x:c r="H1" s="6" t="str">
        <x:v>icono</x:v>
      </x:c>
      <x:c r="I1" s="6" t="str">
        <x:v>orden</x:v>
      </x:c>
      <x:c r="J1" s="6" t="str">
        <x:v>notas</x:v>
      </x:c>
      <x:c r="K1" s="6" t="str">
        <x:v>createdAt</x:v>
      </x:c>
      <x:c r="L1" s="6" t="str">
        <x:v>updatedAt</x:v>
      </x:c>
    </x:row>
    <x:row r="2">
      <x:c r="A2" s="12" t="str">
        <x:v>cat-ingresos</x:v>
      </x:c>
      <x:c r="B2" s="12" t="str">
        <x:v>Ingresos</x:v>
      </x:c>
      <x:c r="C2" s="12" t="n">
        <x:v>0</x:v>
      </x:c>
      <x:c r="D2" s="12" t="str">
        <x:v>Ingreso</x:v>
      </x:c>
      <x:c r="E2" s="12" t="str">
        <x:v>Sí</x:v>
      </x:c>
      <x:c r="F2" s="12" t="str">
        <x:v>Ingresos</x:v>
      </x:c>
      <x:c r="G2" s="12" t="str">
        <x:v>#16A34A</x:v>
      </x:c>
      <x:c r="H2" s="12" t="str">
        <x:v>💶</x:v>
      </x:c>
      <x:c r="I2" s="12" t="n">
        <x:v>1</x:v>
      </x:c>
      <x:c r="J2" s="12" t="str">
        <x:v>Categoría genérica para nómina u otros ingresos.</x:v>
      </x:c>
      <x:c r="K2" s="12" t="str"/>
      <x:c r="L2" s="12" t="str"/>
    </x:row>
    <x:row r="3">
      <x:c r="A3" s="12" t="str">
        <x:v>cat-supermercado</x:v>
      </x:c>
      <x:c r="B3" s="12" t="str">
        <x:v>Supermercado</x:v>
      </x:c>
      <x:c r="C3" s="12" t="n">
        <x:v>170</x:v>
      </x:c>
      <x:c r="D3" s="12" t="str">
        <x:v>Gasto</x:v>
      </x:c>
      <x:c r="E3" s="12" t="str">
        <x:v>Sí</x:v>
      </x:c>
      <x:c r="F3" s="12" t="str">
        <x:v>Vida diaria</x:v>
      </x:c>
      <x:c r="G3" s="12" t="str">
        <x:v>#2563EB</x:v>
      </x:c>
      <x:c r="H3" s="12" t="str">
        <x:v>🛒</x:v>
      </x:c>
      <x:c r="I3" s="12" t="n">
        <x:v>10</x:v>
      </x:c>
      <x:c r="J3" s="12" t="str">
        <x:v>Compra de comida y básicos.</x:v>
      </x:c>
      <x:c r="K3" s="12" t="str"/>
      <x:c r="L3" s="12" t="str"/>
    </x:row>
    <x:row r="4">
      <x:c r="A4" s="12" t="str">
        <x:v>cat-restauracion</x:v>
      </x:c>
      <x:c r="B4" s="12" t="str">
        <x:v>Restauración</x:v>
      </x:c>
      <x:c r="C4" s="12" t="n">
        <x:v>80</x:v>
      </x:c>
      <x:c r="D4" s="12" t="str">
        <x:v>Gasto</x:v>
      </x:c>
      <x:c r="E4" s="12" t="str">
        <x:v>Sí</x:v>
      </x:c>
      <x:c r="F4" s="12" t="str">
        <x:v>Ocio</x:v>
      </x:c>
      <x:c r="G4" s="12" t="str">
        <x:v>#F97316</x:v>
      </x:c>
      <x:c r="H4" s="12" t="str">
        <x:v>🍽️</x:v>
      </x:c>
      <x:c r="I4" s="12" t="n">
        <x:v>20</x:v>
      </x:c>
      <x:c r="J4" s="12" t="str">
        <x:v>Bares, restaurantes, comida fuera.</x:v>
      </x:c>
      <x:c r="K4" s="12" t="str"/>
      <x:c r="L4" s="12" t="str"/>
    </x:row>
    <x:row r="5">
      <x:c r="A5" s="12" t="str">
        <x:v>cat-gasolina</x:v>
      </x:c>
      <x:c r="B5" s="12" t="str">
        <x:v>Gasolina</x:v>
      </x:c>
      <x:c r="C5" s="12" t="n">
        <x:v>120</x:v>
      </x:c>
      <x:c r="D5" s="12" t="str">
        <x:v>Gasto</x:v>
      </x:c>
      <x:c r="E5" s="12" t="str">
        <x:v>Sí</x:v>
      </x:c>
      <x:c r="F5" s="12" t="str">
        <x:v>Vehículos</x:v>
      </x:c>
      <x:c r="G5" s="12" t="str">
        <x:v>#DC2626</x:v>
      </x:c>
      <x:c r="H5" s="12" t="str">
        <x:v>⛽</x:v>
      </x:c>
      <x:c r="I5" s="12" t="n">
        <x:v>30</x:v>
      </x:c>
      <x:c r="J5" s="12" t="str">
        <x:v>Combustible.</x:v>
      </x:c>
      <x:c r="K5" s="12" t="str"/>
      <x:c r="L5" s="12" t="str"/>
    </x:row>
    <x:row r="6">
      <x:c r="A6" s="12" t="str">
        <x:v>cat-ocio</x:v>
      </x:c>
      <x:c r="B6" s="12" t="str">
        <x:v>Ocio</x:v>
      </x:c>
      <x:c r="C6" s="12" t="n">
        <x:v>60</x:v>
      </x:c>
      <x:c r="D6" s="12" t="str">
        <x:v>Gasto</x:v>
      </x:c>
      <x:c r="E6" s="12" t="str">
        <x:v>Sí</x:v>
      </x:c>
      <x:c r="F6" s="12" t="str">
        <x:v>Ocio</x:v>
      </x:c>
      <x:c r="G6" s="12" t="str">
        <x:v>#9333EA</x:v>
      </x:c>
      <x:c r="H6" s="12" t="str">
        <x:v>🎮</x:v>
      </x:c>
      <x:c r="I6" s="12" t="n">
        <x:v>40</x:v>
      </x:c>
      <x:c r="J6" s="12" t="str">
        <x:v>Planes, entretenimiento y ocio.</x:v>
      </x:c>
      <x:c r="K6" s="12" t="str"/>
      <x:c r="L6" s="12" t="str"/>
    </x:row>
    <x:row r="7">
      <x:c r="A7" s="12" t="str">
        <x:v>cat-estetica</x:v>
      </x:c>
      <x:c r="B7" s="12" t="str">
        <x:v>Estética</x:v>
      </x:c>
      <x:c r="C7" s="12" t="n">
        <x:v>50</x:v>
      </x:c>
      <x:c r="D7" s="12" t="str">
        <x:v>Gasto</x:v>
      </x:c>
      <x:c r="E7" s="12" t="str">
        <x:v>Sí</x:v>
      </x:c>
      <x:c r="F7" s="12" t="str">
        <x:v>Personal</x:v>
      </x:c>
      <x:c r="G7" s="12" t="str">
        <x:v>#EC4899</x:v>
      </x:c>
      <x:c r="H7" s="12" t="str">
        <x:v>✂️</x:v>
      </x:c>
      <x:c r="I7" s="12" t="n">
        <x:v>50</x:v>
      </x:c>
      <x:c r="J7" s="12" t="str">
        <x:v>Peluquería, estética, perfumes.</x:v>
      </x:c>
      <x:c r="K7" s="12" t="str"/>
      <x:c r="L7" s="12" t="str"/>
    </x:row>
    <x:row r="8">
      <x:c r="A8" s="12" t="str">
        <x:v>cat-mecanica</x:v>
      </x:c>
      <x:c r="B8" s="12" t="str">
        <x:v>Mecánica</x:v>
      </x:c>
      <x:c r="C8" s="12" t="n">
        <x:v>50</x:v>
      </x:c>
      <x:c r="D8" s="12" t="str">
        <x:v>Gasto</x:v>
      </x:c>
      <x:c r="E8" s="12" t="str">
        <x:v>Sí</x:v>
      </x:c>
      <x:c r="F8" s="12" t="str">
        <x:v>Vehículos</x:v>
      </x:c>
      <x:c r="G8" s="12" t="str">
        <x:v>#64748B</x:v>
      </x:c>
      <x:c r="H8" s="12" t="str">
        <x:v>🔧</x:v>
      </x:c>
      <x:c r="I8" s="12" t="n">
        <x:v>60</x:v>
      </x:c>
      <x:c r="J8" s="12" t="str">
        <x:v>Mantenimiento y pequeñas reparaciones.</x:v>
      </x:c>
      <x:c r="K8" s="12" t="str"/>
      <x:c r="L8" s="12" t="str"/>
    </x:row>
    <x:row r="9">
      <x:c r="A9" s="12" t="str">
        <x:v>cat-seguros</x:v>
      </x:c>
      <x:c r="B9" s="12" t="str">
        <x:v>Seguros</x:v>
      </x:c>
      <x:c r="C9" s="12" t="n">
        <x:v>0</x:v>
      </x:c>
      <x:c r="D9" s="12" t="str">
        <x:v>Gasto</x:v>
      </x:c>
      <x:c r="E9" s="12" t="str">
        <x:v>Sí</x:v>
      </x:c>
      <x:c r="F9" s="12" t="str">
        <x:v>Gastos futuros</x:v>
      </x:c>
      <x:c r="G9" s="12" t="str">
        <x:v>#0F766E</x:v>
      </x:c>
      <x:c r="H9" s="12" t="str">
        <x:v>🛡️</x:v>
      </x:c>
      <x:c r="I9" s="12" t="n">
        <x:v>70</x:v>
      </x:c>
      <x:c r="J9" s="12" t="str">
        <x:v>Seguros anuales/fraccionados.</x:v>
      </x:c>
      <x:c r="K9" s="12" t="str"/>
      <x:c r="L9" s="12" t="str"/>
    </x:row>
    <x:row r="10">
      <x:c r="A10" s="12" t="str">
        <x:v>cat-ahorro</x:v>
      </x:c>
      <x:c r="B10" s="12" t="str">
        <x:v>Ahorro</x:v>
      </x:c>
      <x:c r="C10" s="12" t="n">
        <x:v>0</x:v>
      </x:c>
      <x:c r="D10" s="12" t="str">
        <x:v>Ahorro</x:v>
      </x:c>
      <x:c r="E10" s="12" t="str">
        <x:v>Sí</x:v>
      </x:c>
      <x:c r="F10" s="12" t="str">
        <x:v>Ahorro</x:v>
      </x:c>
      <x:c r="G10" s="12" t="str">
        <x:v>#0891B2</x:v>
      </x:c>
      <x:c r="H10" s="12" t="str">
        <x:v>🏦</x:v>
      </x:c>
      <x:c r="I10" s="12" t="n">
        <x:v>80</x:v>
      </x:c>
      <x:c r="J10" s="12" t="str">
        <x:v>Ahorro directo a colchón, objetivos o reservas.</x:v>
      </x:c>
      <x:c r="K10" s="12" t="str"/>
      <x:c r="L10" s="12" t="str"/>
    </x:row>
    <x:row r="11">
      <x:c r="A11" s="12" t="str">
        <x:v>cat-imprevistos</x:v>
      </x:c>
      <x:c r="B11" s="12" t="str">
        <x:v>Imprevistos</x:v>
      </x:c>
      <x:c r="C11" s="12" t="n">
        <x:v>0</x:v>
      </x:c>
      <x:c r="D11" s="12" t="str">
        <x:v>Gasto</x:v>
      </x:c>
      <x:c r="E11" s="12" t="str">
        <x:v>Sí</x:v>
      </x:c>
      <x:c r="F11" s="12" t="str">
        <x:v>Imprevistos</x:v>
      </x:c>
      <x:c r="G11" s="12" t="str">
        <x:v>#B45309</x:v>
      </x:c>
      <x:c r="H11" s="12" t="str">
        <x:v>⚠️</x:v>
      </x:c>
      <x:c r="I11" s="12" t="n">
        <x:v>90</x:v>
      </x:c>
      <x:c r="J11" s="12" t="str">
        <x:v>Cubrir desde reserva, no como gasto normal.</x:v>
      </x:c>
      <x:c r="K11" s="12" t="str"/>
      <x:c r="L11" s="12" t="str"/>
    </x:row>
    <x:row r="12">
      <x:c r="A12" s="12" t="str">
        <x:v>cat-otros</x:v>
      </x:c>
      <x:c r="B12" s="12" t="str">
        <x:v>Otros</x:v>
      </x:c>
      <x:c r="C12" s="12" t="n">
        <x:v>50</x:v>
      </x:c>
      <x:c r="D12" s="12" t="str">
        <x:v>Gasto</x:v>
      </x:c>
      <x:c r="E12" s="12" t="str">
        <x:v>Sí</x:v>
      </x:c>
      <x:c r="F12" s="12" t="str">
        <x:v>Otros</x:v>
      </x:c>
      <x:c r="G12" s="12" t="str">
        <x:v>#6B7280</x:v>
      </x:c>
      <x:c r="H12" s="12" t="str">
        <x:v>📦</x:v>
      </x:c>
      <x:c r="I12" s="12" t="n">
        <x:v>100</x:v>
      </x:c>
      <x:c r="J12" s="12" t="str">
        <x:v>Categoría comodín.</x:v>
      </x:c>
      <x:c r="K12" s="12" t="str"/>
      <x:c r="L12" s="12" t="str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</x:row>
  </x:sheetData>
  <x:dataValidations count="2">
    <x:dataValidation type="list" sqref="D2:D200">
      <x:formula1>"Ingreso,Gasto,Ahorro,Transferencia interna"</x:formula1>
    </x:dataValidation>
    <x:dataValidation type="list" sqref="E2:E200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f79a4cb6634f6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6" hidden="0" customWidth="1"/>
    <x:col min="4" max="4" width="10" hidden="0" customWidth="1"/>
    <x:col min="5" max="5" width="16" hidden="0" customWidth="1"/>
    <x:col min="6" max="6" width="18" hidden="0" customWidth="1"/>
    <x:col min="7" max="7" width="18" hidden="0" customWidth="1"/>
    <x:col min="8" max="8" width="10" hidden="0" customWidth="1"/>
    <x:col min="9" max="9" width="12" hidden="0" customWidth="1"/>
    <x:col min="10" max="10" width="55" hidden="0" customWidth="1"/>
    <x:col min="11" max="11" width="18" hidden="0" customWidth="1"/>
    <x:col min="12" max="12" width="18" hidden="0" customWidth="1"/>
  </x:cols>
  <x:sheetData>
    <x:row r="1">
      <x:c r="A1" s="6" t="str">
        <x:v>cuentaId</x:v>
      </x:c>
      <x:c r="B1" s="6" t="str">
        <x:v>nombre</x:v>
      </x:c>
      <x:c r="C1" s="6" t="str">
        <x:v>tipo</x:v>
      </x:c>
      <x:c r="D1" s="6" t="str">
        <x:v>moneda</x:v>
      </x:c>
      <x:c r="E1" s="6" t="str">
        <x:v>saldoInicial</x:v>
      </x:c>
      <x:c r="F1" s="6" t="str">
        <x:v>saldoActualManual</x:v>
      </x:c>
      <x:c r="G1" s="6" t="str">
        <x:v>incluirDashboard</x:v>
      </x:c>
      <x:c r="H1" s="6" t="str">
        <x:v>activo</x:v>
      </x:c>
      <x:c r="I1" s="6" t="str">
        <x:v>color</x:v>
      </x:c>
      <x:c r="J1" s="6" t="str">
        <x:v>notas</x:v>
      </x:c>
      <x:c r="K1" s="6" t="str">
        <x:v>createdAt</x:v>
      </x:c>
      <x:c r="L1" s="6" t="str">
        <x:v>updatedAt</x:v>
      </x:c>
    </x:row>
    <x:row r="2">
      <x:c r="A2" s="12" t="str">
        <x:v>cta-principal</x:v>
      </x:c>
      <x:c r="B2" s="12" t="str">
        <x:v>Cuenta principal</x:v>
      </x:c>
      <x:c r="C2" s="12" t="str">
        <x:v>Banco</x:v>
      </x:c>
      <x:c r="D2" s="12" t="str">
        <x:v>EUR</x:v>
      </x:c>
      <x:c r="E2" s="12" t="n">
        <x:v>0</x:v>
      </x:c>
      <x:c r="F2" s="12" t="n">
        <x:v>0</x:v>
      </x:c>
      <x:c r="G2" s="12" t="str">
        <x:v>Sí</x:v>
      </x:c>
      <x:c r="H2" s="12" t="str">
        <x:v>Sí</x:v>
      </x:c>
      <x:c r="I2" s="12" t="str">
        <x:v>#2563EB</x:v>
      </x:c>
      <x:c r="J2" s="12" t="str">
        <x:v>Cuenta donde entra la nómina o ingreso principal.</x:v>
      </x:c>
      <x:c r="K2" s="12" t="str"/>
      <x:c r="L2" s="12" t="str"/>
    </x:row>
    <x:row r="3">
      <x:c r="A3" s="12" t="str">
        <x:v>cta-secundaria</x:v>
      </x:c>
      <x:c r="B3" s="12" t="str">
        <x:v>Cuenta secundaria</x:v>
      </x:c>
      <x:c r="C3" s="12" t="str">
        <x:v>Banco</x:v>
      </x:c>
      <x:c r="D3" s="12" t="str">
        <x:v>EUR</x:v>
      </x:c>
      <x:c r="E3" s="12" t="n">
        <x:v>0</x:v>
      </x:c>
      <x:c r="F3" s="12" t="n">
        <x:v>0</x:v>
      </x:c>
      <x:c r="G3" s="12" t="str">
        <x:v>Sí</x:v>
      </x:c>
      <x:c r="H3" s="12" t="str">
        <x:v>Sí</x:v>
      </x:c>
      <x:c r="I3" s="12" t="str">
        <x:v>#0EA5E9</x:v>
      </x:c>
      <x:c r="J3" s="12" t="str">
        <x:v>Cuenta alternativa, tarjeta o banco secundario.</x:v>
      </x:c>
      <x:c r="K3" s="12" t="str"/>
      <x:c r="L3" s="12" t="str"/>
    </x:row>
    <x:row r="4">
      <x:c r="A4" s="12" t="str">
        <x:v>cta-efectivo</x:v>
      </x:c>
      <x:c r="B4" s="12" t="str">
        <x:v>Efectivo</x:v>
      </x:c>
      <x:c r="C4" s="12" t="str">
        <x:v>Efectivo</x:v>
      </x:c>
      <x:c r="D4" s="12" t="str">
        <x:v>EUR</x:v>
      </x:c>
      <x:c r="E4" s="12" t="n">
        <x:v>0</x:v>
      </x:c>
      <x:c r="F4" s="12" t="n">
        <x:v>0</x:v>
      </x:c>
      <x:c r="G4" s="12" t="str">
        <x:v>Sí</x:v>
      </x:c>
      <x:c r="H4" s="12" t="str">
        <x:v>Sí</x:v>
      </x:c>
      <x:c r="I4" s="12" t="str">
        <x:v>#65A30D</x:v>
      </x:c>
      <x:c r="J4" s="12" t="str">
        <x:v>Dinero en efectivo.</x:v>
      </x:c>
      <x:c r="K4" s="12" t="str"/>
      <x:c r="L4" s="12" t="str"/>
    </x:row>
    <x:row r="5">
      <x:c r="A5" s="12" t="str">
        <x:v>cta-reserva</x:v>
      </x:c>
      <x:c r="B5" s="12" t="str">
        <x:v>Reserva virtual</x:v>
      </x:c>
      <x:c r="C5" s="12" t="str">
        <x:v>Virtual</x:v>
      </x:c>
      <x:c r="D5" s="12" t="str">
        <x:v>EUR</x:v>
      </x:c>
      <x:c r="E5" s="12" t="n">
        <x:v>0</x:v>
      </x:c>
      <x:c r="F5" s="12" t="n">
        <x:v>0</x:v>
      </x:c>
      <x:c r="G5" s="12" t="str">
        <x:v>Sí</x:v>
      </x:c>
      <x:c r="H5" s="12" t="str">
        <x:v>Sí</x:v>
      </x:c>
      <x:c r="I5" s="12" t="str">
        <x:v>#9333EA</x:v>
      </x:c>
      <x:c r="J5" s="12" t="str">
        <x:v>Bolsillo virtual para reservas/ahorro.</x:v>
      </x:c>
      <x:c r="K5" s="12" t="str"/>
      <x:c r="L5" s="12" t="str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</x:row>
  </x:sheetData>
  <x:dataValidations count="2">
    <x:dataValidation type="list" sqref="C2:C100">
      <x:formula1>"Banco,Efectivo,Virtual,PayPal,Broker,Otro"</x:formula1>
    </x:dataValidation>
    <x:dataValidation type="list" sqref="G2:H100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5b8e913e97486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22" hidden="0" customWidth="1"/>
    <x:col min="4" max="4" width="14" hidden="0" customWidth="1"/>
    <x:col min="5" max="5" width="14" hidden="0" customWidth="1"/>
    <x:col min="6" max="6" width="12" hidden="0" customWidth="1"/>
    <x:col min="7" max="7" width="22" hidden="0" customWidth="1"/>
    <x:col min="8" max="8" width="10" hidden="0" customWidth="1"/>
    <x:col min="9" max="9" width="14" hidden="0" customWidth="1"/>
    <x:col min="10" max="10" width="14" hidden="0" customWidth="1"/>
    <x:col min="11" max="11" width="45" hidden="0" customWidth="1"/>
    <x:col min="12" max="12" width="18" hidden="0" customWidth="1"/>
    <x:col min="13" max="13" width="18" hidden="0" customWidth="1"/>
  </x:cols>
  <x:sheetData>
    <x:row r="1">
      <x:c r="A1" s="6" t="str">
        <x:v>fijoId</x:v>
      </x:c>
      <x:c r="B1" s="6" t="str">
        <x:v>concepto</x:v>
      </x:c>
      <x:c r="C1" s="6" t="str">
        <x:v>categoria</x:v>
      </x:c>
      <x:c r="D1" s="6" t="str">
        <x:v>importe</x:v>
      </x:c>
      <x:c r="E1" s="6" t="str">
        <x:v>frecuencia</x:v>
      </x:c>
      <x:c r="F1" s="6" t="str">
        <x:v>diaCargo</x:v>
      </x:c>
      <x:c r="G1" s="6" t="str">
        <x:v>cuentaOrigen</x:v>
      </x:c>
      <x:c r="H1" s="6" t="str">
        <x:v>activo</x:v>
      </x:c>
      <x:c r="I1" s="6" t="str">
        <x:v>fechaInicio</x:v>
      </x:c>
      <x:c r="J1" s="6" t="str">
        <x:v>fechaFin</x:v>
      </x:c>
      <x:c r="K1" s="6" t="str">
        <x:v>notas</x:v>
      </x:c>
      <x:c r="L1" s="6" t="str">
        <x:v>createdAt</x:v>
      </x:c>
      <x:c r="M1" s="6" t="str">
        <x:v>updatedAt</x:v>
      </x:c>
    </x:row>
    <x:row r="2">
      <x:c r="A2" s="12" t="str">
        <x:v>fijo-ejemplo</x:v>
      </x:c>
      <x:c r="B2" s="12" t="str">
        <x:v>Ejemplo: suscripción</x:v>
      </x:c>
      <x:c r="C2" s="12" t="str">
        <x:v>Otros</x:v>
      </x:c>
      <x:c r="D2" s="18" t="n">
        <x:v>0</x:v>
      </x:c>
      <x:c r="E2" s="12" t="str">
        <x:v>Mensual</x:v>
      </x:c>
      <x:c r="F2" s="12" t="n">
        <x:v>1</x:v>
      </x:c>
      <x:c r="G2" s="12" t="str">
        <x:v>Cuenta principal</x:v>
      </x:c>
      <x:c r="H2" s="12" t="str">
        <x:v>No</x:v>
      </x:c>
      <x:c r="I2" s="12" t="str"/>
      <x:c r="J2" s="12" t="str"/>
      <x:c r="K2" s="12" t="str">
        <x:v>Desactiva o edita este ejemplo.</x:v>
      </x:c>
      <x:c r="L2" s="12" t="str"/>
      <x:c r="M2" s="12" t="str"/>
    </x:row>
    <x:row r="3">
      <x:c r="A3" s="12"/>
      <x:c r="B3" s="12"/>
      <x:c r="C3" s="12"/>
      <x:c r="D3" s="18"/>
      <x:c r="E3" s="12"/>
      <x:c r="F3" s="12"/>
      <x:c r="G3" s="12"/>
      <x:c r="H3" s="12"/>
      <x:c r="I3" s="12"/>
      <x:c r="J3" s="12"/>
      <x:c r="K3" s="12"/>
      <x:c r="L3" s="12"/>
      <x:c r="M3" s="12"/>
    </x:row>
    <x:row r="4">
      <x:c r="A4" s="12"/>
      <x:c r="B4" s="12"/>
      <x:c r="C4" s="12"/>
      <x:c r="D4" s="18"/>
      <x:c r="E4" s="12"/>
      <x:c r="F4" s="12"/>
      <x:c r="G4" s="12"/>
      <x:c r="H4" s="12"/>
      <x:c r="I4" s="12"/>
      <x:c r="J4" s="12"/>
      <x:c r="K4" s="12"/>
      <x:c r="L4" s="12"/>
      <x:c r="M4" s="12"/>
    </x:row>
    <x:row r="5">
      <x:c r="A5" s="12"/>
      <x:c r="B5" s="12"/>
      <x:c r="C5" s="12"/>
      <x:c r="D5" s="18"/>
      <x:c r="E5" s="12"/>
      <x:c r="F5" s="12"/>
      <x:c r="G5" s="12"/>
      <x:c r="H5" s="12"/>
      <x:c r="I5" s="12"/>
      <x:c r="J5" s="12"/>
      <x:c r="K5" s="12"/>
      <x:c r="L5" s="12"/>
      <x:c r="M5" s="12"/>
    </x:row>
    <x:row r="6">
      <x:c r="A6" s="12"/>
      <x:c r="B6" s="12"/>
      <x:c r="C6" s="12"/>
      <x:c r="D6" s="18"/>
      <x:c r="E6" s="12"/>
      <x:c r="F6" s="12"/>
      <x:c r="G6" s="12"/>
      <x:c r="H6" s="12"/>
      <x:c r="I6" s="12"/>
      <x:c r="J6" s="12"/>
      <x:c r="K6" s="12"/>
      <x:c r="L6" s="12"/>
      <x:c r="M6" s="12"/>
    </x:row>
    <x:row r="7">
      <x:c r="A7" s="12"/>
      <x:c r="B7" s="12"/>
      <x:c r="C7" s="12"/>
      <x:c r="D7" s="18"/>
      <x:c r="E7" s="12"/>
      <x:c r="F7" s="12"/>
      <x:c r="G7" s="12"/>
      <x:c r="H7" s="12"/>
      <x:c r="I7" s="12"/>
      <x:c r="J7" s="12"/>
      <x:c r="K7" s="12"/>
      <x:c r="L7" s="12"/>
      <x:c r="M7" s="12"/>
    </x:row>
    <x:row r="8">
      <x:c r="A8" s="12"/>
      <x:c r="B8" s="12"/>
      <x:c r="C8" s="12"/>
      <x:c r="D8" s="18"/>
      <x:c r="E8" s="12"/>
      <x:c r="F8" s="12"/>
      <x:c r="G8" s="12"/>
      <x:c r="H8" s="12"/>
      <x:c r="I8" s="12"/>
      <x:c r="J8" s="12"/>
      <x:c r="K8" s="12"/>
      <x:c r="L8" s="12"/>
      <x:c r="M8" s="12"/>
    </x:row>
    <x:row r="9">
      <x:c r="A9" s="12"/>
      <x:c r="B9" s="12"/>
      <x:c r="C9" s="12"/>
      <x:c r="D9" s="18"/>
      <x:c r="E9" s="12"/>
      <x:c r="F9" s="12"/>
      <x:c r="G9" s="12"/>
      <x:c r="H9" s="12"/>
      <x:c r="I9" s="12"/>
      <x:c r="J9" s="12"/>
      <x:c r="K9" s="12"/>
      <x:c r="L9" s="12"/>
      <x:c r="M9" s="12"/>
    </x:row>
    <x:row r="10">
      <x:c r="A10" s="12"/>
      <x:c r="B10" s="12"/>
      <x:c r="C10" s="12"/>
      <x:c r="D10" s="18"/>
      <x:c r="E10" s="12"/>
      <x:c r="F10" s="12"/>
      <x:c r="G10" s="12"/>
      <x:c r="H10" s="12"/>
      <x:c r="I10" s="12"/>
      <x:c r="J10" s="12"/>
      <x:c r="K10" s="12"/>
      <x:c r="L10" s="12"/>
      <x:c r="M10" s="12"/>
    </x:row>
    <x:row r="11">
      <x:c r="A11" s="12"/>
      <x:c r="B11" s="12"/>
      <x:c r="C11" s="12"/>
      <x:c r="D11" s="18"/>
      <x:c r="E11" s="12"/>
      <x:c r="F11" s="12"/>
      <x:c r="G11" s="12"/>
      <x:c r="H11" s="12"/>
      <x:c r="I11" s="12"/>
      <x:c r="J11" s="12"/>
      <x:c r="K11" s="12"/>
      <x:c r="L11" s="12"/>
      <x:c r="M11" s="12"/>
    </x:row>
    <x:row r="12">
      <x:c r="A12" s="12"/>
      <x:c r="B12" s="12"/>
      <x:c r="C12" s="12"/>
      <x:c r="D12" s="18"/>
      <x:c r="E12" s="12"/>
      <x:c r="F12" s="12"/>
      <x:c r="G12" s="12"/>
      <x:c r="H12" s="12"/>
      <x:c r="I12" s="12"/>
      <x:c r="J12" s="12"/>
      <x:c r="K12" s="12"/>
      <x:c r="L12" s="12"/>
      <x:c r="M12" s="12"/>
    </x:row>
    <x:row r="13">
      <x:c r="A13" s="12"/>
      <x:c r="B13" s="12"/>
      <x:c r="C13" s="12"/>
      <x:c r="D13" s="18"/>
      <x:c r="E13" s="12"/>
      <x:c r="F13" s="12"/>
      <x:c r="G13" s="12"/>
      <x:c r="H13" s="12"/>
      <x:c r="I13" s="12"/>
      <x:c r="J13" s="12"/>
      <x:c r="K13" s="12"/>
      <x:c r="L13" s="12"/>
      <x:c r="M13" s="12"/>
    </x:row>
    <x:row r="14">
      <x:c r="A14" s="12"/>
      <x:c r="B14" s="12"/>
      <x:c r="C14" s="12"/>
      <x:c r="D14" s="18"/>
      <x:c r="E14" s="12"/>
      <x:c r="F14" s="12"/>
      <x:c r="G14" s="12"/>
      <x:c r="H14" s="12"/>
      <x:c r="I14" s="12"/>
      <x:c r="J14" s="12"/>
      <x:c r="K14" s="12"/>
      <x:c r="L14" s="12"/>
      <x:c r="M14" s="12"/>
    </x:row>
    <x:row r="15">
      <x:c r="A15" s="12"/>
      <x:c r="B15" s="12"/>
      <x:c r="C15" s="12"/>
      <x:c r="D15" s="18"/>
      <x:c r="E15" s="12"/>
      <x:c r="F15" s="12"/>
      <x:c r="G15" s="12"/>
      <x:c r="H15" s="12"/>
      <x:c r="I15" s="12"/>
      <x:c r="J15" s="12"/>
      <x:c r="K15" s="12"/>
      <x:c r="L15" s="12"/>
      <x:c r="M15" s="12"/>
    </x:row>
    <x:row r="16">
      <x:c r="A16" s="12"/>
      <x:c r="B16" s="12"/>
      <x:c r="C16" s="12"/>
      <x:c r="D16" s="18"/>
      <x:c r="E16" s="12"/>
      <x:c r="F16" s="12"/>
      <x:c r="G16" s="12"/>
      <x:c r="H16" s="12"/>
      <x:c r="I16" s="12"/>
      <x:c r="J16" s="12"/>
      <x:c r="K16" s="12"/>
      <x:c r="L16" s="12"/>
      <x:c r="M16" s="12"/>
    </x:row>
    <x:row r="17">
      <x:c r="A17" s="12"/>
      <x:c r="B17" s="12"/>
      <x:c r="C17" s="12"/>
      <x:c r="D17" s="18"/>
      <x:c r="E17" s="12"/>
      <x:c r="F17" s="12"/>
      <x:c r="G17" s="12"/>
      <x:c r="H17" s="12"/>
      <x:c r="I17" s="12"/>
      <x:c r="J17" s="12"/>
      <x:c r="K17" s="12"/>
      <x:c r="L17" s="12"/>
      <x:c r="M17" s="12"/>
    </x:row>
    <x:row r="18">
      <x:c r="A18" s="12"/>
      <x:c r="B18" s="12"/>
      <x:c r="C18" s="12"/>
      <x:c r="D18" s="18"/>
      <x:c r="E18" s="12"/>
      <x:c r="F18" s="12"/>
      <x:c r="G18" s="12"/>
      <x:c r="H18" s="12"/>
      <x:c r="I18" s="12"/>
      <x:c r="J18" s="12"/>
      <x:c r="K18" s="12"/>
      <x:c r="L18" s="12"/>
      <x:c r="M18" s="12"/>
    </x:row>
    <x:row r="19">
      <x:c r="A19" s="12"/>
      <x:c r="B19" s="12"/>
      <x:c r="C19" s="12"/>
      <x:c r="D19" s="18"/>
      <x:c r="E19" s="12"/>
      <x:c r="F19" s="12"/>
      <x:c r="G19" s="12"/>
      <x:c r="H19" s="12"/>
      <x:c r="I19" s="12"/>
      <x:c r="J19" s="12"/>
      <x:c r="K19" s="12"/>
      <x:c r="L19" s="12"/>
      <x:c r="M19" s="12"/>
    </x:row>
    <x:row r="20">
      <x:c r="A20" s="12"/>
      <x:c r="B20" s="12"/>
      <x:c r="C20" s="12"/>
      <x:c r="D20" s="18"/>
      <x:c r="E20" s="12"/>
      <x:c r="F20" s="12"/>
      <x:c r="G20" s="12"/>
      <x:c r="H20" s="12"/>
      <x:c r="I20" s="12"/>
      <x:c r="J20" s="12"/>
      <x:c r="K20" s="12"/>
      <x:c r="L20" s="12"/>
      <x:c r="M20" s="12"/>
    </x:row>
    <x:row r="21">
      <x:c r="A21" s="12"/>
      <x:c r="B21" s="12"/>
      <x:c r="C21" s="12"/>
      <x:c r="D21" s="18"/>
      <x:c r="E21" s="12"/>
      <x:c r="F21" s="12"/>
      <x:c r="G21" s="12"/>
      <x:c r="H21" s="12"/>
      <x:c r="I21" s="12"/>
      <x:c r="J21" s="12"/>
      <x:c r="K21" s="12"/>
      <x:c r="L21" s="12"/>
      <x:c r="M21" s="12"/>
    </x:row>
    <x:row r="22">
      <x:c r="A22" s="12"/>
      <x:c r="B22" s="12"/>
      <x:c r="C22" s="12"/>
      <x:c r="D22" s="18"/>
      <x:c r="E22" s="12"/>
      <x:c r="F22" s="12"/>
      <x:c r="G22" s="12"/>
      <x:c r="H22" s="12"/>
      <x:c r="I22" s="12"/>
      <x:c r="J22" s="12"/>
      <x:c r="K22" s="12"/>
      <x:c r="L22" s="12"/>
      <x:c r="M22" s="12"/>
    </x:row>
    <x:row r="23">
      <x:c r="A23" s="12"/>
      <x:c r="B23" s="12"/>
      <x:c r="C23" s="12"/>
      <x:c r="D23" s="18"/>
      <x:c r="E23" s="12"/>
      <x:c r="F23" s="12"/>
      <x:c r="G23" s="12"/>
      <x:c r="H23" s="12"/>
      <x:c r="I23" s="12"/>
      <x:c r="J23" s="12"/>
      <x:c r="K23" s="12"/>
      <x:c r="L23" s="12"/>
      <x:c r="M23" s="12"/>
    </x:row>
    <x:row r="24">
      <x:c r="A24" s="12"/>
      <x:c r="B24" s="12"/>
      <x:c r="C24" s="12"/>
      <x:c r="D24" s="18"/>
      <x:c r="E24" s="12"/>
      <x:c r="F24" s="12"/>
      <x:c r="G24" s="12"/>
      <x:c r="H24" s="12"/>
      <x:c r="I24" s="12"/>
      <x:c r="J24" s="12"/>
      <x:c r="K24" s="12"/>
      <x:c r="L24" s="12"/>
      <x:c r="M24" s="12"/>
    </x:row>
    <x:row r="25">
      <x:c r="A25" s="12"/>
      <x:c r="B25" s="12"/>
      <x:c r="C25" s="12"/>
      <x:c r="D25" s="18"/>
      <x:c r="E25" s="12"/>
      <x:c r="F25" s="12"/>
      <x:c r="G25" s="12"/>
      <x:c r="H25" s="12"/>
      <x:c r="I25" s="12"/>
      <x:c r="J25" s="12"/>
      <x:c r="K25" s="12"/>
      <x:c r="L25" s="12"/>
      <x:c r="M25" s="12"/>
    </x:row>
    <x:row r="26">
      <x:c r="A26" s="12"/>
      <x:c r="B26" s="12"/>
      <x:c r="C26" s="12"/>
      <x:c r="D26" s="18"/>
      <x:c r="E26" s="12"/>
      <x:c r="F26" s="12"/>
      <x:c r="G26" s="12"/>
      <x:c r="H26" s="12"/>
      <x:c r="I26" s="12"/>
      <x:c r="J26" s="12"/>
      <x:c r="K26" s="12"/>
      <x:c r="L26" s="12"/>
      <x:c r="M26" s="12"/>
    </x:row>
    <x:row r="27">
      <x:c r="A27" s="12"/>
      <x:c r="B27" s="12"/>
      <x:c r="C27" s="12"/>
      <x:c r="D27" s="18"/>
      <x:c r="E27" s="12"/>
      <x:c r="F27" s="12"/>
      <x:c r="G27" s="12"/>
      <x:c r="H27" s="12"/>
      <x:c r="I27" s="12"/>
      <x:c r="J27" s="12"/>
      <x:c r="K27" s="12"/>
      <x:c r="L27" s="12"/>
      <x:c r="M27" s="12"/>
    </x:row>
    <x:row r="28">
      <x:c r="A28" s="12"/>
      <x:c r="B28" s="12"/>
      <x:c r="C28" s="12"/>
      <x:c r="D28" s="18"/>
      <x:c r="E28" s="12"/>
      <x:c r="F28" s="12"/>
      <x:c r="G28" s="12"/>
      <x:c r="H28" s="12"/>
      <x:c r="I28" s="12"/>
      <x:c r="J28" s="12"/>
      <x:c r="K28" s="12"/>
      <x:c r="L28" s="12"/>
      <x:c r="M28" s="12"/>
    </x:row>
    <x:row r="29">
      <x:c r="A29" s="12"/>
      <x:c r="B29" s="12"/>
      <x:c r="C29" s="12"/>
      <x:c r="D29" s="18"/>
      <x:c r="E29" s="12"/>
      <x:c r="F29" s="12"/>
      <x:c r="G29" s="12"/>
      <x:c r="H29" s="12"/>
      <x:c r="I29" s="12"/>
      <x:c r="J29" s="12"/>
      <x:c r="K29" s="12"/>
      <x:c r="L29" s="12"/>
      <x:c r="M29" s="12"/>
    </x:row>
    <x:row r="30">
      <x:c r="A30" s="12"/>
      <x:c r="B30" s="12"/>
      <x:c r="C30" s="12"/>
      <x:c r="D30" s="18"/>
      <x:c r="E30" s="12"/>
      <x:c r="F30" s="12"/>
      <x:c r="G30" s="12"/>
      <x:c r="H30" s="12"/>
      <x:c r="I30" s="12"/>
      <x:c r="J30" s="12"/>
      <x:c r="K30" s="12"/>
      <x:c r="L30" s="12"/>
      <x:c r="M30" s="12"/>
    </x:row>
    <x:row r="31">
      <x:c r="A31" s="12"/>
      <x:c r="B31" s="12"/>
      <x:c r="C31" s="12"/>
      <x:c r="D31" s="18"/>
      <x:c r="E31" s="12"/>
      <x:c r="F31" s="12"/>
      <x:c r="G31" s="12"/>
      <x:c r="H31" s="12"/>
      <x:c r="I31" s="12"/>
      <x:c r="J31" s="12"/>
      <x:c r="K31" s="12"/>
      <x:c r="L31" s="12"/>
      <x:c r="M31" s="12"/>
    </x:row>
    <x:row r="32">
      <x:c r="A32" s="12"/>
      <x:c r="B32" s="12"/>
      <x:c r="C32" s="12"/>
      <x:c r="D32" s="18"/>
      <x:c r="E32" s="12"/>
      <x:c r="F32" s="12"/>
      <x:c r="G32" s="12"/>
      <x:c r="H32" s="12"/>
      <x:c r="I32" s="12"/>
      <x:c r="J32" s="12"/>
      <x:c r="K32" s="12"/>
      <x:c r="L32" s="12"/>
      <x:c r="M32" s="12"/>
    </x:row>
    <x:row r="33">
      <x:c r="A33" s="12"/>
      <x:c r="B33" s="12"/>
      <x:c r="C33" s="12"/>
      <x:c r="D33" s="18"/>
      <x:c r="E33" s="12"/>
      <x:c r="F33" s="12"/>
      <x:c r="G33" s="12"/>
      <x:c r="H33" s="12"/>
      <x:c r="I33" s="12"/>
      <x:c r="J33" s="12"/>
      <x:c r="K33" s="12"/>
      <x:c r="L33" s="12"/>
      <x:c r="M33" s="12"/>
    </x:row>
    <x:row r="34">
      <x:c r="A34" s="12"/>
      <x:c r="B34" s="12"/>
      <x:c r="C34" s="12"/>
      <x:c r="D34" s="18"/>
      <x:c r="E34" s="12"/>
      <x:c r="F34" s="12"/>
      <x:c r="G34" s="12"/>
      <x:c r="H34" s="12"/>
      <x:c r="I34" s="12"/>
      <x:c r="J34" s="12"/>
      <x:c r="K34" s="12"/>
      <x:c r="L34" s="12"/>
      <x:c r="M34" s="12"/>
    </x:row>
    <x:row r="35">
      <x:c r="A35" s="12"/>
      <x:c r="B35" s="12"/>
      <x:c r="C35" s="12"/>
      <x:c r="D35" s="18"/>
      <x:c r="E35" s="12"/>
      <x:c r="F35" s="12"/>
      <x:c r="G35" s="12"/>
      <x:c r="H35" s="12"/>
      <x:c r="I35" s="12"/>
      <x:c r="J35" s="12"/>
      <x:c r="K35" s="12"/>
      <x:c r="L35" s="12"/>
      <x:c r="M35" s="12"/>
    </x:row>
    <x:row r="36">
      <x:c r="A36" s="12"/>
      <x:c r="B36" s="12"/>
      <x:c r="C36" s="12"/>
      <x:c r="D36" s="18"/>
      <x:c r="E36" s="12"/>
      <x:c r="F36" s="12"/>
      <x:c r="G36" s="12"/>
      <x:c r="H36" s="12"/>
      <x:c r="I36" s="12"/>
      <x:c r="J36" s="12"/>
      <x:c r="K36" s="12"/>
      <x:c r="L36" s="12"/>
      <x:c r="M36" s="12"/>
    </x:row>
    <x:row r="37">
      <x:c r="A37" s="12"/>
      <x:c r="B37" s="12"/>
      <x:c r="C37" s="12"/>
      <x:c r="D37" s="18"/>
      <x:c r="E37" s="12"/>
      <x:c r="F37" s="12"/>
      <x:c r="G37" s="12"/>
      <x:c r="H37" s="12"/>
      <x:c r="I37" s="12"/>
      <x:c r="J37" s="12"/>
      <x:c r="K37" s="12"/>
      <x:c r="L37" s="12"/>
      <x:c r="M37" s="12"/>
    </x:row>
    <x:row r="38">
      <x:c r="A38" s="12"/>
      <x:c r="B38" s="12"/>
      <x:c r="C38" s="12"/>
      <x:c r="D38" s="18"/>
      <x:c r="E38" s="12"/>
      <x:c r="F38" s="12"/>
      <x:c r="G38" s="12"/>
      <x:c r="H38" s="12"/>
      <x:c r="I38" s="12"/>
      <x:c r="J38" s="12"/>
      <x:c r="K38" s="12"/>
      <x:c r="L38" s="12"/>
      <x:c r="M38" s="12"/>
    </x:row>
    <x:row r="39">
      <x:c r="A39" s="12"/>
      <x:c r="B39" s="12"/>
      <x:c r="C39" s="12"/>
      <x:c r="D39" s="18"/>
      <x:c r="E39" s="12"/>
      <x:c r="F39" s="12"/>
      <x:c r="G39" s="12"/>
      <x:c r="H39" s="12"/>
      <x:c r="I39" s="12"/>
      <x:c r="J39" s="12"/>
      <x:c r="K39" s="12"/>
      <x:c r="L39" s="12"/>
      <x:c r="M39" s="12"/>
    </x:row>
    <x:row r="40">
      <x:c r="A40" s="12"/>
      <x:c r="B40" s="12"/>
      <x:c r="C40" s="12"/>
      <x:c r="D40" s="18"/>
      <x:c r="E40" s="12"/>
      <x:c r="F40" s="12"/>
      <x:c r="G40" s="12"/>
      <x:c r="H40" s="12"/>
      <x:c r="I40" s="12"/>
      <x:c r="J40" s="12"/>
      <x:c r="K40" s="12"/>
      <x:c r="L40" s="12"/>
      <x:c r="M40" s="12"/>
    </x:row>
    <x:row r="41">
      <x:c r="A41" s="12"/>
      <x:c r="B41" s="12"/>
      <x:c r="C41" s="12"/>
      <x:c r="D41" s="18"/>
      <x:c r="E41" s="12"/>
      <x:c r="F41" s="12"/>
      <x:c r="G41" s="12"/>
      <x:c r="H41" s="12"/>
      <x:c r="I41" s="12"/>
      <x:c r="J41" s="12"/>
      <x:c r="K41" s="12"/>
      <x:c r="L41" s="12"/>
      <x:c r="M41" s="12"/>
    </x:row>
    <x:row r="42">
      <x:c r="A42" s="12"/>
      <x:c r="B42" s="12"/>
      <x:c r="C42" s="12"/>
      <x:c r="D42" s="18"/>
      <x:c r="E42" s="12"/>
      <x:c r="F42" s="12"/>
      <x:c r="G42" s="12"/>
      <x:c r="H42" s="12"/>
      <x:c r="I42" s="12"/>
      <x:c r="J42" s="12"/>
      <x:c r="K42" s="12"/>
      <x:c r="L42" s="12"/>
      <x:c r="M42" s="12"/>
    </x:row>
    <x:row r="43">
      <x:c r="A43" s="12"/>
      <x:c r="B43" s="12"/>
      <x:c r="C43" s="12"/>
      <x:c r="D43" s="18"/>
      <x:c r="E43" s="12"/>
      <x:c r="F43" s="12"/>
      <x:c r="G43" s="12"/>
      <x:c r="H43" s="12"/>
      <x:c r="I43" s="12"/>
      <x:c r="J43" s="12"/>
      <x:c r="K43" s="12"/>
      <x:c r="L43" s="12"/>
      <x:c r="M43" s="12"/>
    </x:row>
    <x:row r="44">
      <x:c r="A44" s="12"/>
      <x:c r="B44" s="12"/>
      <x:c r="C44" s="12"/>
      <x:c r="D44" s="18"/>
      <x:c r="E44" s="12"/>
      <x:c r="F44" s="12"/>
      <x:c r="G44" s="12"/>
      <x:c r="H44" s="12"/>
      <x:c r="I44" s="12"/>
      <x:c r="J44" s="12"/>
      <x:c r="K44" s="12"/>
      <x:c r="L44" s="12"/>
      <x:c r="M44" s="12"/>
    </x:row>
    <x:row r="45">
      <x:c r="A45" s="12"/>
      <x:c r="B45" s="12"/>
      <x:c r="C45" s="12"/>
      <x:c r="D45" s="18"/>
      <x:c r="E45" s="12"/>
      <x:c r="F45" s="12"/>
      <x:c r="G45" s="12"/>
      <x:c r="H45" s="12"/>
      <x:c r="I45" s="12"/>
      <x:c r="J45" s="12"/>
      <x:c r="K45" s="12"/>
      <x:c r="L45" s="12"/>
      <x:c r="M45" s="12"/>
    </x:row>
    <x:row r="46">
      <x:c r="A46" s="12"/>
      <x:c r="B46" s="12"/>
      <x:c r="C46" s="12"/>
      <x:c r="D46" s="18"/>
      <x:c r="E46" s="12"/>
      <x:c r="F46" s="12"/>
      <x:c r="G46" s="12"/>
      <x:c r="H46" s="12"/>
      <x:c r="I46" s="12"/>
      <x:c r="J46" s="12"/>
      <x:c r="K46" s="12"/>
      <x:c r="L46" s="12"/>
      <x:c r="M46" s="12"/>
    </x:row>
    <x:row r="47">
      <x:c r="A47" s="12"/>
      <x:c r="B47" s="12"/>
      <x:c r="C47" s="12"/>
      <x:c r="D47" s="18"/>
      <x:c r="E47" s="12"/>
      <x:c r="F47" s="12"/>
      <x:c r="G47" s="12"/>
      <x:c r="H47" s="12"/>
      <x:c r="I47" s="12"/>
      <x:c r="J47" s="12"/>
      <x:c r="K47" s="12"/>
      <x:c r="L47" s="12"/>
      <x:c r="M47" s="12"/>
    </x:row>
    <x:row r="48">
      <x:c r="A48" s="12"/>
      <x:c r="B48" s="12"/>
      <x:c r="C48" s="12"/>
      <x:c r="D48" s="18"/>
      <x:c r="E48" s="12"/>
      <x:c r="F48" s="12"/>
      <x:c r="G48" s="12"/>
      <x:c r="H48" s="12"/>
      <x:c r="I48" s="12"/>
      <x:c r="J48" s="12"/>
      <x:c r="K48" s="12"/>
      <x:c r="L48" s="12"/>
      <x:c r="M48" s="12"/>
    </x:row>
    <x:row r="49">
      <x:c r="A49" s="12"/>
      <x:c r="B49" s="12"/>
      <x:c r="C49" s="12"/>
      <x:c r="D49" s="18"/>
      <x:c r="E49" s="12"/>
      <x:c r="F49" s="12"/>
      <x:c r="G49" s="12"/>
      <x:c r="H49" s="12"/>
      <x:c r="I49" s="12"/>
      <x:c r="J49" s="12"/>
      <x:c r="K49" s="12"/>
      <x:c r="L49" s="12"/>
      <x:c r="M49" s="12"/>
    </x:row>
    <x:row r="50">
      <x:c r="A50" s="12"/>
      <x:c r="B50" s="12"/>
      <x:c r="C50" s="12"/>
      <x:c r="D50" s="18"/>
      <x:c r="E50" s="12"/>
      <x:c r="F50" s="12"/>
      <x:c r="G50" s="12"/>
      <x:c r="H50" s="12"/>
      <x:c r="I50" s="12"/>
      <x:c r="J50" s="12"/>
      <x:c r="K50" s="12"/>
      <x:c r="L50" s="12"/>
      <x:c r="M50" s="12"/>
    </x:row>
    <x:row r="51">
      <x:c r="A51" s="12"/>
      <x:c r="B51" s="12"/>
      <x:c r="C51" s="12"/>
      <x:c r="D51" s="18"/>
      <x:c r="E51" s="12"/>
      <x:c r="F51" s="12"/>
      <x:c r="G51" s="12"/>
      <x:c r="H51" s="12"/>
      <x:c r="I51" s="12"/>
      <x:c r="J51" s="12"/>
      <x:c r="K51" s="12"/>
      <x:c r="L51" s="12"/>
      <x:c r="M51" s="12"/>
    </x:row>
    <x:row r="52">
      <x:c r="A52" s="12"/>
      <x:c r="B52" s="12"/>
      <x:c r="C52" s="12"/>
      <x:c r="D52" s="18"/>
      <x:c r="E52" s="12"/>
      <x:c r="F52" s="12"/>
      <x:c r="G52" s="12"/>
      <x:c r="H52" s="12"/>
      <x:c r="I52" s="12"/>
      <x:c r="J52" s="12"/>
      <x:c r="K52" s="12"/>
      <x:c r="L52" s="12"/>
      <x:c r="M52" s="12"/>
    </x:row>
    <x:row r="53">
      <x:c r="A53" s="12"/>
      <x:c r="B53" s="12"/>
      <x:c r="C53" s="12"/>
      <x:c r="D53" s="18"/>
      <x:c r="E53" s="12"/>
      <x:c r="F53" s="12"/>
      <x:c r="G53" s="12"/>
      <x:c r="H53" s="12"/>
      <x:c r="I53" s="12"/>
      <x:c r="J53" s="12"/>
      <x:c r="K53" s="12"/>
      <x:c r="L53" s="12"/>
      <x:c r="M53" s="12"/>
    </x:row>
    <x:row r="54">
      <x:c r="A54" s="12"/>
      <x:c r="B54" s="12"/>
      <x:c r="C54" s="12"/>
      <x:c r="D54" s="18"/>
      <x:c r="E54" s="12"/>
      <x:c r="F54" s="12"/>
      <x:c r="G54" s="12"/>
      <x:c r="H54" s="12"/>
      <x:c r="I54" s="12"/>
      <x:c r="J54" s="12"/>
      <x:c r="K54" s="12"/>
      <x:c r="L54" s="12"/>
      <x:c r="M54" s="12"/>
    </x:row>
    <x:row r="55">
      <x:c r="A55" s="12"/>
      <x:c r="B55" s="12"/>
      <x:c r="C55" s="12"/>
      <x:c r="D55" s="18"/>
      <x:c r="E55" s="12"/>
      <x:c r="F55" s="12"/>
      <x:c r="G55" s="12"/>
      <x:c r="H55" s="12"/>
      <x:c r="I55" s="12"/>
      <x:c r="J55" s="12"/>
      <x:c r="K55" s="12"/>
      <x:c r="L55" s="12"/>
      <x:c r="M55" s="12"/>
    </x:row>
    <x:row r="56">
      <x:c r="A56" s="12"/>
      <x:c r="B56" s="12"/>
      <x:c r="C56" s="12"/>
      <x:c r="D56" s="18"/>
      <x:c r="E56" s="12"/>
      <x:c r="F56" s="12"/>
      <x:c r="G56" s="12"/>
      <x:c r="H56" s="12"/>
      <x:c r="I56" s="12"/>
      <x:c r="J56" s="12"/>
      <x:c r="K56" s="12"/>
      <x:c r="L56" s="12"/>
      <x:c r="M56" s="12"/>
    </x:row>
    <x:row r="57">
      <x:c r="A57" s="12"/>
      <x:c r="B57" s="12"/>
      <x:c r="C57" s="12"/>
      <x:c r="D57" s="18"/>
      <x:c r="E57" s="12"/>
      <x:c r="F57" s="12"/>
      <x:c r="G57" s="12"/>
      <x:c r="H57" s="12"/>
      <x:c r="I57" s="12"/>
      <x:c r="J57" s="12"/>
      <x:c r="K57" s="12"/>
      <x:c r="L57" s="12"/>
      <x:c r="M57" s="12"/>
    </x:row>
    <x:row r="58">
      <x:c r="A58" s="12"/>
      <x:c r="B58" s="12"/>
      <x:c r="C58" s="12"/>
      <x:c r="D58" s="18"/>
      <x:c r="E58" s="12"/>
      <x:c r="F58" s="12"/>
      <x:c r="G58" s="12"/>
      <x:c r="H58" s="12"/>
      <x:c r="I58" s="12"/>
      <x:c r="J58" s="12"/>
      <x:c r="K58" s="12"/>
      <x:c r="L58" s="12"/>
      <x:c r="M58" s="12"/>
    </x:row>
    <x:row r="59">
      <x:c r="A59" s="12"/>
      <x:c r="B59" s="12"/>
      <x:c r="C59" s="12"/>
      <x:c r="D59" s="18"/>
      <x:c r="E59" s="12"/>
      <x:c r="F59" s="12"/>
      <x:c r="G59" s="12"/>
      <x:c r="H59" s="12"/>
      <x:c r="I59" s="12"/>
      <x:c r="J59" s="12"/>
      <x:c r="K59" s="12"/>
      <x:c r="L59" s="12"/>
      <x:c r="M59" s="12"/>
    </x:row>
    <x:row r="60">
      <x:c r="A60" s="12"/>
      <x:c r="B60" s="12"/>
      <x:c r="C60" s="12"/>
      <x:c r="D60" s="18"/>
      <x:c r="E60" s="12"/>
      <x:c r="F60" s="12"/>
      <x:c r="G60" s="12"/>
      <x:c r="H60" s="12"/>
      <x:c r="I60" s="12"/>
      <x:c r="J60" s="12"/>
      <x:c r="K60" s="12"/>
      <x:c r="L60" s="12"/>
      <x:c r="M60" s="12"/>
    </x:row>
    <x:row r="61">
      <x:c r="A61" s="12"/>
      <x:c r="B61" s="12"/>
      <x:c r="C61" s="12"/>
      <x:c r="D61" s="18"/>
      <x:c r="E61" s="12"/>
      <x:c r="F61" s="12"/>
      <x:c r="G61" s="12"/>
      <x:c r="H61" s="12"/>
      <x:c r="I61" s="12"/>
      <x:c r="J61" s="12"/>
      <x:c r="K61" s="12"/>
      <x:c r="L61" s="12"/>
      <x:c r="M61" s="12"/>
    </x:row>
    <x:row r="62">
      <x:c r="A62" s="12"/>
      <x:c r="B62" s="12"/>
      <x:c r="C62" s="12"/>
      <x:c r="D62" s="18"/>
      <x:c r="E62" s="12"/>
      <x:c r="F62" s="12"/>
      <x:c r="G62" s="12"/>
      <x:c r="H62" s="12"/>
      <x:c r="I62" s="12"/>
      <x:c r="J62" s="12"/>
      <x:c r="K62" s="12"/>
      <x:c r="L62" s="12"/>
      <x:c r="M62" s="12"/>
    </x:row>
    <x:row r="63">
      <x:c r="A63" s="12"/>
      <x:c r="B63" s="12"/>
      <x:c r="C63" s="12"/>
      <x:c r="D63" s="18"/>
      <x:c r="E63" s="12"/>
      <x:c r="F63" s="12"/>
      <x:c r="G63" s="12"/>
      <x:c r="H63" s="12"/>
      <x:c r="I63" s="12"/>
      <x:c r="J63" s="12"/>
      <x:c r="K63" s="12"/>
      <x:c r="L63" s="12"/>
      <x:c r="M63" s="12"/>
    </x:row>
    <x:row r="64">
      <x:c r="A64" s="12"/>
      <x:c r="B64" s="12"/>
      <x:c r="C64" s="12"/>
      <x:c r="D64" s="18"/>
      <x:c r="E64" s="12"/>
      <x:c r="F64" s="12"/>
      <x:c r="G64" s="12"/>
      <x:c r="H64" s="12"/>
      <x:c r="I64" s="12"/>
      <x:c r="J64" s="12"/>
      <x:c r="K64" s="12"/>
      <x:c r="L64" s="12"/>
      <x:c r="M64" s="12"/>
    </x:row>
    <x:row r="65">
      <x:c r="A65" s="12"/>
      <x:c r="B65" s="12"/>
      <x:c r="C65" s="12"/>
      <x:c r="D65" s="18"/>
      <x:c r="E65" s="12"/>
      <x:c r="F65" s="12"/>
      <x:c r="G65" s="12"/>
      <x:c r="H65" s="12"/>
      <x:c r="I65" s="12"/>
      <x:c r="J65" s="12"/>
      <x:c r="K65" s="12"/>
      <x:c r="L65" s="12"/>
      <x:c r="M65" s="12"/>
    </x:row>
    <x:row r="66">
      <x:c r="A66" s="12"/>
      <x:c r="B66" s="12"/>
      <x:c r="C66" s="12"/>
      <x:c r="D66" s="18"/>
      <x:c r="E66" s="12"/>
      <x:c r="F66" s="12"/>
      <x:c r="G66" s="12"/>
      <x:c r="H66" s="12"/>
      <x:c r="I66" s="12"/>
      <x:c r="J66" s="12"/>
      <x:c r="K66" s="12"/>
      <x:c r="L66" s="12"/>
      <x:c r="M66" s="12"/>
    </x:row>
    <x:row r="67">
      <x:c r="A67" s="12"/>
      <x:c r="B67" s="12"/>
      <x:c r="C67" s="12"/>
      <x:c r="D67" s="18"/>
      <x:c r="E67" s="12"/>
      <x:c r="F67" s="12"/>
      <x:c r="G67" s="12"/>
      <x:c r="H67" s="12"/>
      <x:c r="I67" s="12"/>
      <x:c r="J67" s="12"/>
      <x:c r="K67" s="12"/>
      <x:c r="L67" s="12"/>
      <x:c r="M67" s="12"/>
    </x:row>
    <x:row r="68">
      <x:c r="A68" s="12"/>
      <x:c r="B68" s="12"/>
      <x:c r="C68" s="12"/>
      <x:c r="D68" s="18"/>
      <x:c r="E68" s="12"/>
      <x:c r="F68" s="12"/>
      <x:c r="G68" s="12"/>
      <x:c r="H68" s="12"/>
      <x:c r="I68" s="12"/>
      <x:c r="J68" s="12"/>
      <x:c r="K68" s="12"/>
      <x:c r="L68" s="12"/>
      <x:c r="M68" s="12"/>
    </x:row>
    <x:row r="69">
      <x:c r="A69" s="12"/>
      <x:c r="B69" s="12"/>
      <x:c r="C69" s="12"/>
      <x:c r="D69" s="18"/>
      <x:c r="E69" s="12"/>
      <x:c r="F69" s="12"/>
      <x:c r="G69" s="12"/>
      <x:c r="H69" s="12"/>
      <x:c r="I69" s="12"/>
      <x:c r="J69" s="12"/>
      <x:c r="K69" s="12"/>
      <x:c r="L69" s="12"/>
      <x:c r="M69" s="12"/>
    </x:row>
    <x:row r="70">
      <x:c r="A70" s="12"/>
      <x:c r="B70" s="12"/>
      <x:c r="C70" s="12"/>
      <x:c r="D70" s="18"/>
      <x:c r="E70" s="12"/>
      <x:c r="F70" s="12"/>
      <x:c r="G70" s="12"/>
      <x:c r="H70" s="12"/>
      <x:c r="I70" s="12"/>
      <x:c r="J70" s="12"/>
      <x:c r="K70" s="12"/>
      <x:c r="L70" s="12"/>
      <x:c r="M70" s="12"/>
    </x:row>
    <x:row r="71">
      <x:c r="A71" s="12"/>
      <x:c r="B71" s="12"/>
      <x:c r="C71" s="12"/>
      <x:c r="D71" s="18"/>
      <x:c r="E71" s="12"/>
      <x:c r="F71" s="12"/>
      <x:c r="G71" s="12"/>
      <x:c r="H71" s="12"/>
      <x:c r="I71" s="12"/>
      <x:c r="J71" s="12"/>
      <x:c r="K71" s="12"/>
      <x:c r="L71" s="12"/>
      <x:c r="M71" s="12"/>
    </x:row>
    <x:row r="72">
      <x:c r="A72" s="12"/>
      <x:c r="B72" s="12"/>
      <x:c r="C72" s="12"/>
      <x:c r="D72" s="18"/>
      <x:c r="E72" s="12"/>
      <x:c r="F72" s="12"/>
      <x:c r="G72" s="12"/>
      <x:c r="H72" s="12"/>
      <x:c r="I72" s="12"/>
      <x:c r="J72" s="12"/>
      <x:c r="K72" s="12"/>
      <x:c r="L72" s="12"/>
      <x:c r="M72" s="12"/>
    </x:row>
    <x:row r="73">
      <x:c r="A73" s="12"/>
      <x:c r="B73" s="12"/>
      <x:c r="C73" s="12"/>
      <x:c r="D73" s="18"/>
      <x:c r="E73" s="12"/>
      <x:c r="F73" s="12"/>
      <x:c r="G73" s="12"/>
      <x:c r="H73" s="12"/>
      <x:c r="I73" s="12"/>
      <x:c r="J73" s="12"/>
      <x:c r="K73" s="12"/>
      <x:c r="L73" s="12"/>
      <x:c r="M73" s="12"/>
    </x:row>
    <x:row r="74">
      <x:c r="A74" s="12"/>
      <x:c r="B74" s="12"/>
      <x:c r="C74" s="12"/>
      <x:c r="D74" s="18"/>
      <x:c r="E74" s="12"/>
      <x:c r="F74" s="12"/>
      <x:c r="G74" s="12"/>
      <x:c r="H74" s="12"/>
      <x:c r="I74" s="12"/>
      <x:c r="J74" s="12"/>
      <x:c r="K74" s="12"/>
      <x:c r="L74" s="12"/>
      <x:c r="M74" s="12"/>
    </x:row>
    <x:row r="75">
      <x:c r="A75" s="12"/>
      <x:c r="B75" s="12"/>
      <x:c r="C75" s="12"/>
      <x:c r="D75" s="18"/>
      <x:c r="E75" s="12"/>
      <x:c r="F75" s="12"/>
      <x:c r="G75" s="12"/>
      <x:c r="H75" s="12"/>
      <x:c r="I75" s="12"/>
      <x:c r="J75" s="12"/>
      <x:c r="K75" s="12"/>
      <x:c r="L75" s="12"/>
      <x:c r="M75" s="12"/>
    </x:row>
    <x:row r="76">
      <x:c r="A76" s="12"/>
      <x:c r="B76" s="12"/>
      <x:c r="C76" s="12"/>
      <x:c r="D76" s="18"/>
      <x:c r="E76" s="12"/>
      <x:c r="F76" s="12"/>
      <x:c r="G76" s="12"/>
      <x:c r="H76" s="12"/>
      <x:c r="I76" s="12"/>
      <x:c r="J76" s="12"/>
      <x:c r="K76" s="12"/>
      <x:c r="L76" s="12"/>
      <x:c r="M76" s="12"/>
    </x:row>
    <x:row r="77">
      <x:c r="A77" s="12"/>
      <x:c r="B77" s="12"/>
      <x:c r="C77" s="12"/>
      <x:c r="D77" s="18"/>
      <x:c r="E77" s="12"/>
      <x:c r="F77" s="12"/>
      <x:c r="G77" s="12"/>
      <x:c r="H77" s="12"/>
      <x:c r="I77" s="12"/>
      <x:c r="J77" s="12"/>
      <x:c r="K77" s="12"/>
      <x:c r="L77" s="12"/>
      <x:c r="M77" s="12"/>
    </x:row>
    <x:row r="78">
      <x:c r="A78" s="12"/>
      <x:c r="B78" s="12"/>
      <x:c r="C78" s="12"/>
      <x:c r="D78" s="18"/>
      <x:c r="E78" s="12"/>
      <x:c r="F78" s="12"/>
      <x:c r="G78" s="12"/>
      <x:c r="H78" s="12"/>
      <x:c r="I78" s="12"/>
      <x:c r="J78" s="12"/>
      <x:c r="K78" s="12"/>
      <x:c r="L78" s="12"/>
      <x:c r="M78" s="12"/>
    </x:row>
    <x:row r="79">
      <x:c r="A79" s="12"/>
      <x:c r="B79" s="12"/>
      <x:c r="C79" s="12"/>
      <x:c r="D79" s="18"/>
      <x:c r="E79" s="12"/>
      <x:c r="F79" s="12"/>
      <x:c r="G79" s="12"/>
      <x:c r="H79" s="12"/>
      <x:c r="I79" s="12"/>
      <x:c r="J79" s="12"/>
      <x:c r="K79" s="12"/>
      <x:c r="L79" s="12"/>
      <x:c r="M79" s="12"/>
    </x:row>
    <x:row r="80">
      <x:c r="A80" s="12"/>
      <x:c r="B80" s="12"/>
      <x:c r="C80" s="12"/>
      <x:c r="D80" s="18"/>
      <x:c r="E80" s="12"/>
      <x:c r="F80" s="12"/>
      <x:c r="G80" s="12"/>
      <x:c r="H80" s="12"/>
      <x:c r="I80" s="12"/>
      <x:c r="J80" s="12"/>
      <x:c r="K80" s="12"/>
      <x:c r="L80" s="12"/>
      <x:c r="M80" s="12"/>
    </x:row>
    <x:row r="81">
      <x:c r="A81" s="12"/>
      <x:c r="B81" s="12"/>
      <x:c r="C81" s="12"/>
      <x:c r="D81" s="18"/>
      <x:c r="E81" s="12"/>
      <x:c r="F81" s="12"/>
      <x:c r="G81" s="12"/>
      <x:c r="H81" s="12"/>
      <x:c r="I81" s="12"/>
      <x:c r="J81" s="12"/>
      <x:c r="K81" s="12"/>
      <x:c r="L81" s="12"/>
      <x:c r="M81" s="12"/>
    </x:row>
    <x:row r="82">
      <x:c r="A82" s="12"/>
      <x:c r="B82" s="12"/>
      <x:c r="C82" s="12"/>
      <x:c r="D82" s="18"/>
      <x:c r="E82" s="12"/>
      <x:c r="F82" s="12"/>
      <x:c r="G82" s="12"/>
      <x:c r="H82" s="12"/>
      <x:c r="I82" s="12"/>
      <x:c r="J82" s="12"/>
      <x:c r="K82" s="12"/>
      <x:c r="L82" s="12"/>
      <x:c r="M82" s="12"/>
    </x:row>
    <x:row r="83">
      <x:c r="A83" s="12"/>
      <x:c r="B83" s="12"/>
      <x:c r="C83" s="12"/>
      <x:c r="D83" s="18"/>
      <x:c r="E83" s="12"/>
      <x:c r="F83" s="12"/>
      <x:c r="G83" s="12"/>
      <x:c r="H83" s="12"/>
      <x:c r="I83" s="12"/>
      <x:c r="J83" s="12"/>
      <x:c r="K83" s="12"/>
      <x:c r="L83" s="12"/>
      <x:c r="M83" s="12"/>
    </x:row>
    <x:row r="84">
      <x:c r="A84" s="12"/>
      <x:c r="B84" s="12"/>
      <x:c r="C84" s="12"/>
      <x:c r="D84" s="18"/>
      <x:c r="E84" s="12"/>
      <x:c r="F84" s="12"/>
      <x:c r="G84" s="12"/>
      <x:c r="H84" s="12"/>
      <x:c r="I84" s="12"/>
      <x:c r="J84" s="12"/>
      <x:c r="K84" s="12"/>
      <x:c r="L84" s="12"/>
      <x:c r="M84" s="12"/>
    </x:row>
    <x:row r="85">
      <x:c r="A85" s="12"/>
      <x:c r="B85" s="12"/>
      <x:c r="C85" s="12"/>
      <x:c r="D85" s="18"/>
      <x:c r="E85" s="12"/>
      <x:c r="F85" s="12"/>
      <x:c r="G85" s="12"/>
      <x:c r="H85" s="12"/>
      <x:c r="I85" s="12"/>
      <x:c r="J85" s="12"/>
      <x:c r="K85" s="12"/>
      <x:c r="L85" s="12"/>
      <x:c r="M85" s="12"/>
    </x:row>
    <x:row r="86">
      <x:c r="A86" s="12"/>
      <x:c r="B86" s="12"/>
      <x:c r="C86" s="12"/>
      <x:c r="D86" s="18"/>
      <x:c r="E86" s="12"/>
      <x:c r="F86" s="12"/>
      <x:c r="G86" s="12"/>
      <x:c r="H86" s="12"/>
      <x:c r="I86" s="12"/>
      <x:c r="J86" s="12"/>
      <x:c r="K86" s="12"/>
      <x:c r="L86" s="12"/>
      <x:c r="M86" s="12"/>
    </x:row>
    <x:row r="87">
      <x:c r="A87" s="12"/>
      <x:c r="B87" s="12"/>
      <x:c r="C87" s="12"/>
      <x:c r="D87" s="18"/>
      <x:c r="E87" s="12"/>
      <x:c r="F87" s="12"/>
      <x:c r="G87" s="12"/>
      <x:c r="H87" s="12"/>
      <x:c r="I87" s="12"/>
      <x:c r="J87" s="12"/>
      <x:c r="K87" s="12"/>
      <x:c r="L87" s="12"/>
      <x:c r="M87" s="12"/>
    </x:row>
    <x:row r="88">
      <x:c r="A88" s="12"/>
      <x:c r="B88" s="12"/>
      <x:c r="C88" s="12"/>
      <x:c r="D88" s="18"/>
      <x:c r="E88" s="12"/>
      <x:c r="F88" s="12"/>
      <x:c r="G88" s="12"/>
      <x:c r="H88" s="12"/>
      <x:c r="I88" s="12"/>
      <x:c r="J88" s="12"/>
      <x:c r="K88" s="12"/>
      <x:c r="L88" s="12"/>
      <x:c r="M88" s="12"/>
    </x:row>
    <x:row r="89">
      <x:c r="A89" s="12"/>
      <x:c r="B89" s="12"/>
      <x:c r="C89" s="12"/>
      <x:c r="D89" s="18"/>
      <x:c r="E89" s="12"/>
      <x:c r="F89" s="12"/>
      <x:c r="G89" s="12"/>
      <x:c r="H89" s="12"/>
      <x:c r="I89" s="12"/>
      <x:c r="J89" s="12"/>
      <x:c r="K89" s="12"/>
      <x:c r="L89" s="12"/>
      <x:c r="M89" s="12"/>
    </x:row>
    <x:row r="90">
      <x:c r="A90" s="12"/>
      <x:c r="B90" s="12"/>
      <x:c r="C90" s="12"/>
      <x:c r="D90" s="18"/>
      <x:c r="E90" s="12"/>
      <x:c r="F90" s="12"/>
      <x:c r="G90" s="12"/>
      <x:c r="H90" s="12"/>
      <x:c r="I90" s="12"/>
      <x:c r="J90" s="12"/>
      <x:c r="K90" s="12"/>
      <x:c r="L90" s="12"/>
      <x:c r="M90" s="12"/>
    </x:row>
    <x:row r="91">
      <x:c r="A91" s="12"/>
      <x:c r="B91" s="12"/>
      <x:c r="C91" s="12"/>
      <x:c r="D91" s="18"/>
      <x:c r="E91" s="12"/>
      <x:c r="F91" s="12"/>
      <x:c r="G91" s="12"/>
      <x:c r="H91" s="12"/>
      <x:c r="I91" s="12"/>
      <x:c r="J91" s="12"/>
      <x:c r="K91" s="12"/>
      <x:c r="L91" s="12"/>
      <x:c r="M91" s="12"/>
    </x:row>
    <x:row r="92">
      <x:c r="A92" s="12"/>
      <x:c r="B92" s="12"/>
      <x:c r="C92" s="12"/>
      <x:c r="D92" s="18"/>
      <x:c r="E92" s="12"/>
      <x:c r="F92" s="12"/>
      <x:c r="G92" s="12"/>
      <x:c r="H92" s="12"/>
      <x:c r="I92" s="12"/>
      <x:c r="J92" s="12"/>
      <x:c r="K92" s="12"/>
      <x:c r="L92" s="12"/>
      <x:c r="M92" s="12"/>
    </x:row>
    <x:row r="93">
      <x:c r="A93" s="12"/>
      <x:c r="B93" s="12"/>
      <x:c r="C93" s="12"/>
      <x:c r="D93" s="18"/>
      <x:c r="E93" s="12"/>
      <x:c r="F93" s="12"/>
      <x:c r="G93" s="12"/>
      <x:c r="H93" s="12"/>
      <x:c r="I93" s="12"/>
      <x:c r="J93" s="12"/>
      <x:c r="K93" s="12"/>
      <x:c r="L93" s="12"/>
      <x:c r="M93" s="12"/>
    </x:row>
    <x:row r="94">
      <x:c r="A94" s="12"/>
      <x:c r="B94" s="12"/>
      <x:c r="C94" s="12"/>
      <x:c r="D94" s="18"/>
      <x:c r="E94" s="12"/>
      <x:c r="F94" s="12"/>
      <x:c r="G94" s="12"/>
      <x:c r="H94" s="12"/>
      <x:c r="I94" s="12"/>
      <x:c r="J94" s="12"/>
      <x:c r="K94" s="12"/>
      <x:c r="L94" s="12"/>
      <x:c r="M94" s="12"/>
    </x:row>
    <x:row r="95">
      <x:c r="A95" s="12"/>
      <x:c r="B95" s="12"/>
      <x:c r="C95" s="12"/>
      <x:c r="D95" s="18"/>
      <x:c r="E95" s="12"/>
      <x:c r="F95" s="12"/>
      <x:c r="G95" s="12"/>
      <x:c r="H95" s="12"/>
      <x:c r="I95" s="12"/>
      <x:c r="J95" s="12"/>
      <x:c r="K95" s="12"/>
      <x:c r="L95" s="12"/>
      <x:c r="M95" s="12"/>
    </x:row>
    <x:row r="96">
      <x:c r="A96" s="12"/>
      <x:c r="B96" s="12"/>
      <x:c r="C96" s="12"/>
      <x:c r="D96" s="18"/>
      <x:c r="E96" s="12"/>
      <x:c r="F96" s="12"/>
      <x:c r="G96" s="12"/>
      <x:c r="H96" s="12"/>
      <x:c r="I96" s="12"/>
      <x:c r="J96" s="12"/>
      <x:c r="K96" s="12"/>
      <x:c r="L96" s="12"/>
      <x:c r="M96" s="12"/>
    </x:row>
    <x:row r="97">
      <x:c r="A97" s="12"/>
      <x:c r="B97" s="12"/>
      <x:c r="C97" s="12"/>
      <x:c r="D97" s="18"/>
      <x:c r="E97" s="12"/>
      <x:c r="F97" s="12"/>
      <x:c r="G97" s="12"/>
      <x:c r="H97" s="12"/>
      <x:c r="I97" s="12"/>
      <x:c r="J97" s="12"/>
      <x:c r="K97" s="12"/>
      <x:c r="L97" s="12"/>
      <x:c r="M97" s="12"/>
    </x:row>
    <x:row r="98">
      <x:c r="A98" s="12"/>
      <x:c r="B98" s="12"/>
      <x:c r="C98" s="12"/>
      <x:c r="D98" s="18"/>
      <x:c r="E98" s="12"/>
      <x:c r="F98" s="12"/>
      <x:c r="G98" s="12"/>
      <x:c r="H98" s="12"/>
      <x:c r="I98" s="12"/>
      <x:c r="J98" s="12"/>
      <x:c r="K98" s="12"/>
      <x:c r="L98" s="12"/>
      <x:c r="M98" s="12"/>
    </x:row>
    <x:row r="99">
      <x:c r="A99" s="12"/>
      <x:c r="B99" s="12"/>
      <x:c r="C99" s="12"/>
      <x:c r="D99" s="18"/>
      <x:c r="E99" s="12"/>
      <x:c r="F99" s="12"/>
      <x:c r="G99" s="12"/>
      <x:c r="H99" s="12"/>
      <x:c r="I99" s="12"/>
      <x:c r="J99" s="12"/>
      <x:c r="K99" s="12"/>
      <x:c r="L99" s="12"/>
      <x:c r="M99" s="12"/>
    </x:row>
    <x:row r="100">
      <x:c r="A100" s="12"/>
      <x:c r="B100" s="12"/>
      <x:c r="C100" s="12"/>
      <x:c r="D100" s="18"/>
      <x:c r="E100" s="12"/>
      <x:c r="F100" s="12"/>
      <x:c r="G100" s="12"/>
      <x:c r="H100" s="12"/>
      <x:c r="I100" s="12"/>
      <x:c r="J100" s="12"/>
      <x:c r="K100" s="12"/>
      <x:c r="L100" s="12"/>
      <x:c r="M100" s="12"/>
    </x:row>
    <x:row r="101">
      <x:c r="A101" s="12"/>
      <x:c r="B101" s="12"/>
      <x:c r="C101" s="12"/>
      <x:c r="D101" s="18"/>
      <x:c r="E101" s="12"/>
      <x:c r="F101" s="12"/>
      <x:c r="G101" s="12"/>
      <x:c r="H101" s="12"/>
      <x:c r="I101" s="12"/>
      <x:c r="J101" s="12"/>
      <x:c r="K101" s="12"/>
      <x:c r="L101" s="12"/>
      <x:c r="M101" s="12"/>
    </x:row>
    <x:row r="102">
      <x:c r="A102" s="12"/>
      <x:c r="B102" s="12"/>
      <x:c r="C102" s="12"/>
      <x:c r="D102" s="18"/>
      <x:c r="E102" s="12"/>
      <x:c r="F102" s="12"/>
      <x:c r="G102" s="12"/>
      <x:c r="H102" s="12"/>
      <x:c r="I102" s="12"/>
      <x:c r="J102" s="12"/>
      <x:c r="K102" s="12"/>
      <x:c r="L102" s="12"/>
      <x:c r="M102" s="12"/>
    </x:row>
    <x:row r="103">
      <x:c r="A103" s="12"/>
      <x:c r="B103" s="12"/>
      <x:c r="C103" s="12"/>
      <x:c r="D103" s="18"/>
      <x:c r="E103" s="12"/>
      <x:c r="F103" s="12"/>
      <x:c r="G103" s="12"/>
      <x:c r="H103" s="12"/>
      <x:c r="I103" s="12"/>
      <x:c r="J103" s="12"/>
      <x:c r="K103" s="12"/>
      <x:c r="L103" s="12"/>
      <x:c r="M103" s="12"/>
    </x:row>
    <x:row r="104">
      <x:c r="A104" s="12"/>
      <x:c r="B104" s="12"/>
      <x:c r="C104" s="12"/>
      <x:c r="D104" s="18"/>
      <x:c r="E104" s="12"/>
      <x:c r="F104" s="12"/>
      <x:c r="G104" s="12"/>
      <x:c r="H104" s="12"/>
      <x:c r="I104" s="12"/>
      <x:c r="J104" s="12"/>
      <x:c r="K104" s="12"/>
      <x:c r="L104" s="12"/>
      <x:c r="M104" s="12"/>
    </x:row>
    <x:row r="105">
      <x:c r="A105" s="12"/>
      <x:c r="B105" s="12"/>
      <x:c r="C105" s="12"/>
      <x:c r="D105" s="18"/>
      <x:c r="E105" s="12"/>
      <x:c r="F105" s="12"/>
      <x:c r="G105" s="12"/>
      <x:c r="H105" s="12"/>
      <x:c r="I105" s="12"/>
      <x:c r="J105" s="12"/>
      <x:c r="K105" s="12"/>
      <x:c r="L105" s="12"/>
      <x:c r="M105" s="12"/>
    </x:row>
    <x:row r="106">
      <x:c r="A106" s="12"/>
      <x:c r="B106" s="12"/>
      <x:c r="C106" s="12"/>
      <x:c r="D106" s="18"/>
      <x:c r="E106" s="12"/>
      <x:c r="F106" s="12"/>
      <x:c r="G106" s="12"/>
      <x:c r="H106" s="12"/>
      <x:c r="I106" s="12"/>
      <x:c r="J106" s="12"/>
      <x:c r="K106" s="12"/>
      <x:c r="L106" s="12"/>
      <x:c r="M106" s="12"/>
    </x:row>
    <x:row r="107">
      <x:c r="A107" s="12"/>
      <x:c r="B107" s="12"/>
      <x:c r="C107" s="12"/>
      <x:c r="D107" s="18"/>
      <x:c r="E107" s="12"/>
      <x:c r="F107" s="12"/>
      <x:c r="G107" s="12"/>
      <x:c r="H107" s="12"/>
      <x:c r="I107" s="12"/>
      <x:c r="J107" s="12"/>
      <x:c r="K107" s="12"/>
      <x:c r="L107" s="12"/>
      <x:c r="M107" s="12"/>
    </x:row>
    <x:row r="108">
      <x:c r="A108" s="12"/>
      <x:c r="B108" s="12"/>
      <x:c r="C108" s="12"/>
      <x:c r="D108" s="18"/>
      <x:c r="E108" s="12"/>
      <x:c r="F108" s="12"/>
      <x:c r="G108" s="12"/>
      <x:c r="H108" s="12"/>
      <x:c r="I108" s="12"/>
      <x:c r="J108" s="12"/>
      <x:c r="K108" s="12"/>
      <x:c r="L108" s="12"/>
      <x:c r="M108" s="12"/>
    </x:row>
    <x:row r="109">
      <x:c r="A109" s="12"/>
      <x:c r="B109" s="12"/>
      <x:c r="C109" s="12"/>
      <x:c r="D109" s="18"/>
      <x:c r="E109" s="12"/>
      <x:c r="F109" s="12"/>
      <x:c r="G109" s="12"/>
      <x:c r="H109" s="12"/>
      <x:c r="I109" s="12"/>
      <x:c r="J109" s="12"/>
      <x:c r="K109" s="12"/>
      <x:c r="L109" s="12"/>
      <x:c r="M109" s="12"/>
    </x:row>
    <x:row r="110">
      <x:c r="A110" s="12"/>
      <x:c r="B110" s="12"/>
      <x:c r="C110" s="12"/>
      <x:c r="D110" s="18"/>
      <x:c r="E110" s="12"/>
      <x:c r="F110" s="12"/>
      <x:c r="G110" s="12"/>
      <x:c r="H110" s="12"/>
      <x:c r="I110" s="12"/>
      <x:c r="J110" s="12"/>
      <x:c r="K110" s="12"/>
      <x:c r="L110" s="12"/>
      <x:c r="M110" s="12"/>
    </x:row>
    <x:row r="111">
      <x:c r="A111" s="12"/>
      <x:c r="B111" s="12"/>
      <x:c r="C111" s="12"/>
      <x:c r="D111" s="18"/>
      <x:c r="E111" s="12"/>
      <x:c r="F111" s="12"/>
      <x:c r="G111" s="12"/>
      <x:c r="H111" s="12"/>
      <x:c r="I111" s="12"/>
      <x:c r="J111" s="12"/>
      <x:c r="K111" s="12"/>
      <x:c r="L111" s="12"/>
      <x:c r="M111" s="12"/>
    </x:row>
    <x:row r="112">
      <x:c r="A112" s="12"/>
      <x:c r="B112" s="12"/>
      <x:c r="C112" s="12"/>
      <x:c r="D112" s="18"/>
      <x:c r="E112" s="12"/>
      <x:c r="F112" s="12"/>
      <x:c r="G112" s="12"/>
      <x:c r="H112" s="12"/>
      <x:c r="I112" s="12"/>
      <x:c r="J112" s="12"/>
      <x:c r="K112" s="12"/>
      <x:c r="L112" s="12"/>
      <x:c r="M112" s="12"/>
    </x:row>
    <x:row r="113">
      <x:c r="A113" s="12"/>
      <x:c r="B113" s="12"/>
      <x:c r="C113" s="12"/>
      <x:c r="D113" s="18"/>
      <x:c r="E113" s="12"/>
      <x:c r="F113" s="12"/>
      <x:c r="G113" s="12"/>
      <x:c r="H113" s="12"/>
      <x:c r="I113" s="12"/>
      <x:c r="J113" s="12"/>
      <x:c r="K113" s="12"/>
      <x:c r="L113" s="12"/>
      <x:c r="M113" s="12"/>
    </x:row>
    <x:row r="114">
      <x:c r="A114" s="12"/>
      <x:c r="B114" s="12"/>
      <x:c r="C114" s="12"/>
      <x:c r="D114" s="18"/>
      <x:c r="E114" s="12"/>
      <x:c r="F114" s="12"/>
      <x:c r="G114" s="12"/>
      <x:c r="H114" s="12"/>
      <x:c r="I114" s="12"/>
      <x:c r="J114" s="12"/>
      <x:c r="K114" s="12"/>
      <x:c r="L114" s="12"/>
      <x:c r="M114" s="12"/>
    </x:row>
    <x:row r="115">
      <x:c r="A115" s="12"/>
      <x:c r="B115" s="12"/>
      <x:c r="C115" s="12"/>
      <x:c r="D115" s="18"/>
      <x:c r="E115" s="12"/>
      <x:c r="F115" s="12"/>
      <x:c r="G115" s="12"/>
      <x:c r="H115" s="12"/>
      <x:c r="I115" s="12"/>
      <x:c r="J115" s="12"/>
      <x:c r="K115" s="12"/>
      <x:c r="L115" s="12"/>
      <x:c r="M115" s="12"/>
    </x:row>
    <x:row r="116">
      <x:c r="A116" s="12"/>
      <x:c r="B116" s="12"/>
      <x:c r="C116" s="12"/>
      <x:c r="D116" s="18"/>
      <x:c r="E116" s="12"/>
      <x:c r="F116" s="12"/>
      <x:c r="G116" s="12"/>
      <x:c r="H116" s="12"/>
      <x:c r="I116" s="12"/>
      <x:c r="J116" s="12"/>
      <x:c r="K116" s="12"/>
      <x:c r="L116" s="12"/>
      <x:c r="M116" s="12"/>
    </x:row>
    <x:row r="117">
      <x:c r="A117" s="12"/>
      <x:c r="B117" s="12"/>
      <x:c r="C117" s="12"/>
      <x:c r="D117" s="18"/>
      <x:c r="E117" s="12"/>
      <x:c r="F117" s="12"/>
      <x:c r="G117" s="12"/>
      <x:c r="H117" s="12"/>
      <x:c r="I117" s="12"/>
      <x:c r="J117" s="12"/>
      <x:c r="K117" s="12"/>
      <x:c r="L117" s="12"/>
      <x:c r="M117" s="12"/>
    </x:row>
    <x:row r="118">
      <x:c r="A118" s="12"/>
      <x:c r="B118" s="12"/>
      <x:c r="C118" s="12"/>
      <x:c r="D118" s="18"/>
      <x:c r="E118" s="12"/>
      <x:c r="F118" s="12"/>
      <x:c r="G118" s="12"/>
      <x:c r="H118" s="12"/>
      <x:c r="I118" s="12"/>
      <x:c r="J118" s="12"/>
      <x:c r="K118" s="12"/>
      <x:c r="L118" s="12"/>
      <x:c r="M118" s="12"/>
    </x:row>
    <x:row r="119">
      <x:c r="A119" s="12"/>
      <x:c r="B119" s="12"/>
      <x:c r="C119" s="12"/>
      <x:c r="D119" s="18"/>
      <x:c r="E119" s="12"/>
      <x:c r="F119" s="12"/>
      <x:c r="G119" s="12"/>
      <x:c r="H119" s="12"/>
      <x:c r="I119" s="12"/>
      <x:c r="J119" s="12"/>
      <x:c r="K119" s="12"/>
      <x:c r="L119" s="12"/>
      <x:c r="M119" s="12"/>
    </x:row>
    <x:row r="120">
      <x:c r="A120" s="12"/>
      <x:c r="B120" s="12"/>
      <x:c r="C120" s="12"/>
      <x:c r="D120" s="18"/>
      <x:c r="E120" s="12"/>
      <x:c r="F120" s="12"/>
      <x:c r="G120" s="12"/>
      <x:c r="H120" s="12"/>
      <x:c r="I120" s="12"/>
      <x:c r="J120" s="12"/>
      <x:c r="K120" s="12"/>
      <x:c r="L120" s="12"/>
      <x:c r="M120" s="12"/>
    </x:row>
    <x:row r="121">
      <x:c r="A121" s="12"/>
      <x:c r="B121" s="12"/>
      <x:c r="C121" s="12"/>
      <x:c r="D121" s="18"/>
      <x:c r="E121" s="12"/>
      <x:c r="F121" s="12"/>
      <x:c r="G121" s="12"/>
      <x:c r="H121" s="12"/>
      <x:c r="I121" s="12"/>
      <x:c r="J121" s="12"/>
      <x:c r="K121" s="12"/>
      <x:c r="L121" s="12"/>
      <x:c r="M121" s="12"/>
    </x:row>
    <x:row r="122">
      <x:c r="A122" s="12"/>
      <x:c r="B122" s="12"/>
      <x:c r="C122" s="12"/>
      <x:c r="D122" s="18"/>
      <x:c r="E122" s="12"/>
      <x:c r="F122" s="12"/>
      <x:c r="G122" s="12"/>
      <x:c r="H122" s="12"/>
      <x:c r="I122" s="12"/>
      <x:c r="J122" s="12"/>
      <x:c r="K122" s="12"/>
      <x:c r="L122" s="12"/>
      <x:c r="M122" s="12"/>
    </x:row>
    <x:row r="123">
      <x:c r="A123" s="12"/>
      <x:c r="B123" s="12"/>
      <x:c r="C123" s="12"/>
      <x:c r="D123" s="18"/>
      <x:c r="E123" s="12"/>
      <x:c r="F123" s="12"/>
      <x:c r="G123" s="12"/>
      <x:c r="H123" s="12"/>
      <x:c r="I123" s="12"/>
      <x:c r="J123" s="12"/>
      <x:c r="K123" s="12"/>
      <x:c r="L123" s="12"/>
      <x:c r="M123" s="12"/>
    </x:row>
    <x:row r="124">
      <x:c r="A124" s="12"/>
      <x:c r="B124" s="12"/>
      <x:c r="C124" s="12"/>
      <x:c r="D124" s="18"/>
      <x:c r="E124" s="12"/>
      <x:c r="F124" s="12"/>
      <x:c r="G124" s="12"/>
      <x:c r="H124" s="12"/>
      <x:c r="I124" s="12"/>
      <x:c r="J124" s="12"/>
      <x:c r="K124" s="12"/>
      <x:c r="L124" s="12"/>
      <x:c r="M124" s="12"/>
    </x:row>
    <x:row r="125">
      <x:c r="A125" s="12"/>
      <x:c r="B125" s="12"/>
      <x:c r="C125" s="12"/>
      <x:c r="D125" s="18"/>
      <x:c r="E125" s="12"/>
      <x:c r="F125" s="12"/>
      <x:c r="G125" s="12"/>
      <x:c r="H125" s="12"/>
      <x:c r="I125" s="12"/>
      <x:c r="J125" s="12"/>
      <x:c r="K125" s="12"/>
      <x:c r="L125" s="12"/>
      <x:c r="M125" s="12"/>
    </x:row>
    <x:row r="126">
      <x:c r="A126" s="12"/>
      <x:c r="B126" s="12"/>
      <x:c r="C126" s="12"/>
      <x:c r="D126" s="18"/>
      <x:c r="E126" s="12"/>
      <x:c r="F126" s="12"/>
      <x:c r="G126" s="12"/>
      <x:c r="H126" s="12"/>
      <x:c r="I126" s="12"/>
      <x:c r="J126" s="12"/>
      <x:c r="K126" s="12"/>
      <x:c r="L126" s="12"/>
      <x:c r="M126" s="12"/>
    </x:row>
    <x:row r="127">
      <x:c r="A127" s="12"/>
      <x:c r="B127" s="12"/>
      <x:c r="C127" s="12"/>
      <x:c r="D127" s="18"/>
      <x:c r="E127" s="12"/>
      <x:c r="F127" s="12"/>
      <x:c r="G127" s="12"/>
      <x:c r="H127" s="12"/>
      <x:c r="I127" s="12"/>
      <x:c r="J127" s="12"/>
      <x:c r="K127" s="12"/>
      <x:c r="L127" s="12"/>
      <x:c r="M127" s="12"/>
    </x:row>
    <x:row r="128">
      <x:c r="A128" s="12"/>
      <x:c r="B128" s="12"/>
      <x:c r="C128" s="12"/>
      <x:c r="D128" s="18"/>
      <x:c r="E128" s="12"/>
      <x:c r="F128" s="12"/>
      <x:c r="G128" s="12"/>
      <x:c r="H128" s="12"/>
      <x:c r="I128" s="12"/>
      <x:c r="J128" s="12"/>
      <x:c r="K128" s="12"/>
      <x:c r="L128" s="12"/>
      <x:c r="M128" s="12"/>
    </x:row>
    <x:row r="129">
      <x:c r="A129" s="12"/>
      <x:c r="B129" s="12"/>
      <x:c r="C129" s="12"/>
      <x:c r="D129" s="18"/>
      <x:c r="E129" s="12"/>
      <x:c r="F129" s="12"/>
      <x:c r="G129" s="12"/>
      <x:c r="H129" s="12"/>
      <x:c r="I129" s="12"/>
      <x:c r="J129" s="12"/>
      <x:c r="K129" s="12"/>
      <x:c r="L129" s="12"/>
      <x:c r="M129" s="12"/>
    </x:row>
    <x:row r="130">
      <x:c r="A130" s="12"/>
      <x:c r="B130" s="12"/>
      <x:c r="C130" s="12"/>
      <x:c r="D130" s="18"/>
      <x:c r="E130" s="12"/>
      <x:c r="F130" s="12"/>
      <x:c r="G130" s="12"/>
      <x:c r="H130" s="12"/>
      <x:c r="I130" s="12"/>
      <x:c r="J130" s="12"/>
      <x:c r="K130" s="12"/>
      <x:c r="L130" s="12"/>
      <x:c r="M130" s="12"/>
    </x:row>
    <x:row r="131">
      <x:c r="A131" s="12"/>
      <x:c r="B131" s="12"/>
      <x:c r="C131" s="12"/>
      <x:c r="D131" s="18"/>
      <x:c r="E131" s="12"/>
      <x:c r="F131" s="12"/>
      <x:c r="G131" s="12"/>
      <x:c r="H131" s="12"/>
      <x:c r="I131" s="12"/>
      <x:c r="J131" s="12"/>
      <x:c r="K131" s="12"/>
      <x:c r="L131" s="12"/>
      <x:c r="M131" s="12"/>
    </x:row>
    <x:row r="132">
      <x:c r="A132" s="12"/>
      <x:c r="B132" s="12"/>
      <x:c r="C132" s="12"/>
      <x:c r="D132" s="18"/>
      <x:c r="E132" s="12"/>
      <x:c r="F132" s="12"/>
      <x:c r="G132" s="12"/>
      <x:c r="H132" s="12"/>
      <x:c r="I132" s="12"/>
      <x:c r="J132" s="12"/>
      <x:c r="K132" s="12"/>
      <x:c r="L132" s="12"/>
      <x:c r="M132" s="12"/>
    </x:row>
    <x:row r="133">
      <x:c r="A133" s="12"/>
      <x:c r="B133" s="12"/>
      <x:c r="C133" s="12"/>
      <x:c r="D133" s="18"/>
      <x:c r="E133" s="12"/>
      <x:c r="F133" s="12"/>
      <x:c r="G133" s="12"/>
      <x:c r="H133" s="12"/>
      <x:c r="I133" s="12"/>
      <x:c r="J133" s="12"/>
      <x:c r="K133" s="12"/>
      <x:c r="L133" s="12"/>
      <x:c r="M133" s="12"/>
    </x:row>
    <x:row r="134">
      <x:c r="A134" s="12"/>
      <x:c r="B134" s="12"/>
      <x:c r="C134" s="12"/>
      <x:c r="D134" s="18"/>
      <x:c r="E134" s="12"/>
      <x:c r="F134" s="12"/>
      <x:c r="G134" s="12"/>
      <x:c r="H134" s="12"/>
      <x:c r="I134" s="12"/>
      <x:c r="J134" s="12"/>
      <x:c r="K134" s="12"/>
      <x:c r="L134" s="12"/>
      <x:c r="M134" s="12"/>
    </x:row>
    <x:row r="135">
      <x:c r="A135" s="12"/>
      <x:c r="B135" s="12"/>
      <x:c r="C135" s="12"/>
      <x:c r="D135" s="18"/>
      <x:c r="E135" s="12"/>
      <x:c r="F135" s="12"/>
      <x:c r="G135" s="12"/>
      <x:c r="H135" s="12"/>
      <x:c r="I135" s="12"/>
      <x:c r="J135" s="12"/>
      <x:c r="K135" s="12"/>
      <x:c r="L135" s="12"/>
      <x:c r="M135" s="12"/>
    </x:row>
    <x:row r="136">
      <x:c r="A136" s="12"/>
      <x:c r="B136" s="12"/>
      <x:c r="C136" s="12"/>
      <x:c r="D136" s="18"/>
      <x:c r="E136" s="12"/>
      <x:c r="F136" s="12"/>
      <x:c r="G136" s="12"/>
      <x:c r="H136" s="12"/>
      <x:c r="I136" s="12"/>
      <x:c r="J136" s="12"/>
      <x:c r="K136" s="12"/>
      <x:c r="L136" s="12"/>
      <x:c r="M136" s="12"/>
    </x:row>
    <x:row r="137">
      <x:c r="A137" s="12"/>
      <x:c r="B137" s="12"/>
      <x:c r="C137" s="12"/>
      <x:c r="D137" s="18"/>
      <x:c r="E137" s="12"/>
      <x:c r="F137" s="12"/>
      <x:c r="G137" s="12"/>
      <x:c r="H137" s="12"/>
      <x:c r="I137" s="12"/>
      <x:c r="J137" s="12"/>
      <x:c r="K137" s="12"/>
      <x:c r="L137" s="12"/>
      <x:c r="M137" s="12"/>
    </x:row>
    <x:row r="138">
      <x:c r="A138" s="12"/>
      <x:c r="B138" s="12"/>
      <x:c r="C138" s="12"/>
      <x:c r="D138" s="18"/>
      <x:c r="E138" s="12"/>
      <x:c r="F138" s="12"/>
      <x:c r="G138" s="12"/>
      <x:c r="H138" s="12"/>
      <x:c r="I138" s="12"/>
      <x:c r="J138" s="12"/>
      <x:c r="K138" s="12"/>
      <x:c r="L138" s="12"/>
      <x:c r="M138" s="12"/>
    </x:row>
    <x:row r="139">
      <x:c r="A139" s="12"/>
      <x:c r="B139" s="12"/>
      <x:c r="C139" s="12"/>
      <x:c r="D139" s="18"/>
      <x:c r="E139" s="12"/>
      <x:c r="F139" s="12"/>
      <x:c r="G139" s="12"/>
      <x:c r="H139" s="12"/>
      <x:c r="I139" s="12"/>
      <x:c r="J139" s="12"/>
      <x:c r="K139" s="12"/>
      <x:c r="L139" s="12"/>
      <x:c r="M139" s="12"/>
    </x:row>
    <x:row r="140">
      <x:c r="A140" s="12"/>
      <x:c r="B140" s="12"/>
      <x:c r="C140" s="12"/>
      <x:c r="D140" s="18"/>
      <x:c r="E140" s="12"/>
      <x:c r="F140" s="12"/>
      <x:c r="G140" s="12"/>
      <x:c r="H140" s="12"/>
      <x:c r="I140" s="12"/>
      <x:c r="J140" s="12"/>
      <x:c r="K140" s="12"/>
      <x:c r="L140" s="12"/>
      <x:c r="M140" s="12"/>
    </x:row>
    <x:row r="141">
      <x:c r="A141" s="12"/>
      <x:c r="B141" s="12"/>
      <x:c r="C141" s="12"/>
      <x:c r="D141" s="18"/>
      <x:c r="E141" s="12"/>
      <x:c r="F141" s="12"/>
      <x:c r="G141" s="12"/>
      <x:c r="H141" s="12"/>
      <x:c r="I141" s="12"/>
      <x:c r="J141" s="12"/>
      <x:c r="K141" s="12"/>
      <x:c r="L141" s="12"/>
      <x:c r="M141" s="12"/>
    </x:row>
    <x:row r="142">
      <x:c r="A142" s="12"/>
      <x:c r="B142" s="12"/>
      <x:c r="C142" s="12"/>
      <x:c r="D142" s="18"/>
      <x:c r="E142" s="12"/>
      <x:c r="F142" s="12"/>
      <x:c r="G142" s="12"/>
      <x:c r="H142" s="12"/>
      <x:c r="I142" s="12"/>
      <x:c r="J142" s="12"/>
      <x:c r="K142" s="12"/>
      <x:c r="L142" s="12"/>
      <x:c r="M142" s="12"/>
    </x:row>
    <x:row r="143">
      <x:c r="A143" s="12"/>
      <x:c r="B143" s="12"/>
      <x:c r="C143" s="12"/>
      <x:c r="D143" s="18"/>
      <x:c r="E143" s="12"/>
      <x:c r="F143" s="12"/>
      <x:c r="G143" s="12"/>
      <x:c r="H143" s="12"/>
      <x:c r="I143" s="12"/>
      <x:c r="J143" s="12"/>
      <x:c r="K143" s="12"/>
      <x:c r="L143" s="12"/>
      <x:c r="M143" s="12"/>
    </x:row>
    <x:row r="144">
      <x:c r="A144" s="12"/>
      <x:c r="B144" s="12"/>
      <x:c r="C144" s="12"/>
      <x:c r="D144" s="18"/>
      <x:c r="E144" s="12"/>
      <x:c r="F144" s="12"/>
      <x:c r="G144" s="12"/>
      <x:c r="H144" s="12"/>
      <x:c r="I144" s="12"/>
      <x:c r="J144" s="12"/>
      <x:c r="K144" s="12"/>
      <x:c r="L144" s="12"/>
      <x:c r="M144" s="12"/>
    </x:row>
    <x:row r="145">
      <x:c r="A145" s="12"/>
      <x:c r="B145" s="12"/>
      <x:c r="C145" s="12"/>
      <x:c r="D145" s="18"/>
      <x:c r="E145" s="12"/>
      <x:c r="F145" s="12"/>
      <x:c r="G145" s="12"/>
      <x:c r="H145" s="12"/>
      <x:c r="I145" s="12"/>
      <x:c r="J145" s="12"/>
      <x:c r="K145" s="12"/>
      <x:c r="L145" s="12"/>
      <x:c r="M145" s="12"/>
    </x:row>
    <x:row r="146">
      <x:c r="A146" s="12"/>
      <x:c r="B146" s="12"/>
      <x:c r="C146" s="12"/>
      <x:c r="D146" s="18"/>
      <x:c r="E146" s="12"/>
      <x:c r="F146" s="12"/>
      <x:c r="G146" s="12"/>
      <x:c r="H146" s="12"/>
      <x:c r="I146" s="12"/>
      <x:c r="J146" s="12"/>
      <x:c r="K146" s="12"/>
      <x:c r="L146" s="12"/>
      <x:c r="M146" s="12"/>
    </x:row>
    <x:row r="147">
      <x:c r="A147" s="12"/>
      <x:c r="B147" s="12"/>
      <x:c r="C147" s="12"/>
      <x:c r="D147" s="18"/>
      <x:c r="E147" s="12"/>
      <x:c r="F147" s="12"/>
      <x:c r="G147" s="12"/>
      <x:c r="H147" s="12"/>
      <x:c r="I147" s="12"/>
      <x:c r="J147" s="12"/>
      <x:c r="K147" s="12"/>
      <x:c r="L147" s="12"/>
      <x:c r="M147" s="12"/>
    </x:row>
    <x:row r="148">
      <x:c r="A148" s="12"/>
      <x:c r="B148" s="12"/>
      <x:c r="C148" s="12"/>
      <x:c r="D148" s="18"/>
      <x:c r="E148" s="12"/>
      <x:c r="F148" s="12"/>
      <x:c r="G148" s="12"/>
      <x:c r="H148" s="12"/>
      <x:c r="I148" s="12"/>
      <x:c r="J148" s="12"/>
      <x:c r="K148" s="12"/>
      <x:c r="L148" s="12"/>
      <x:c r="M148" s="12"/>
    </x:row>
    <x:row r="149">
      <x:c r="A149" s="12"/>
      <x:c r="B149" s="12"/>
      <x:c r="C149" s="12"/>
      <x:c r="D149" s="18"/>
      <x:c r="E149" s="12"/>
      <x:c r="F149" s="12"/>
      <x:c r="G149" s="12"/>
      <x:c r="H149" s="12"/>
      <x:c r="I149" s="12"/>
      <x:c r="J149" s="12"/>
      <x:c r="K149" s="12"/>
      <x:c r="L149" s="12"/>
      <x:c r="M149" s="12"/>
    </x:row>
    <x:row r="150">
      <x:c r="A150" s="12"/>
      <x:c r="B150" s="12"/>
      <x:c r="C150" s="12"/>
      <x:c r="D150" s="18"/>
      <x:c r="E150" s="12"/>
      <x:c r="F150" s="12"/>
      <x:c r="G150" s="12"/>
      <x:c r="H150" s="12"/>
      <x:c r="I150" s="12"/>
      <x:c r="J150" s="12"/>
      <x:c r="K150" s="12"/>
      <x:c r="L150" s="12"/>
      <x:c r="M150" s="12"/>
    </x:row>
    <x:row r="151">
      <x:c r="A151" s="12"/>
      <x:c r="B151" s="12"/>
      <x:c r="C151" s="12"/>
      <x:c r="D151" s="18"/>
      <x:c r="E151" s="12"/>
      <x:c r="F151" s="12"/>
      <x:c r="G151" s="12"/>
      <x:c r="H151" s="12"/>
      <x:c r="I151" s="12"/>
      <x:c r="J151" s="12"/>
      <x:c r="K151" s="12"/>
      <x:c r="L151" s="12"/>
      <x:c r="M151" s="12"/>
    </x:row>
    <x:row r="152">
      <x:c r="A152" s="12"/>
      <x:c r="B152" s="12"/>
      <x:c r="C152" s="12"/>
      <x:c r="D152" s="18"/>
      <x:c r="E152" s="12"/>
      <x:c r="F152" s="12"/>
      <x:c r="G152" s="12"/>
      <x:c r="H152" s="12"/>
      <x:c r="I152" s="12"/>
      <x:c r="J152" s="12"/>
      <x:c r="K152" s="12"/>
      <x:c r="L152" s="12"/>
      <x:c r="M152" s="12"/>
    </x:row>
    <x:row r="153">
      <x:c r="A153" s="12"/>
      <x:c r="B153" s="12"/>
      <x:c r="C153" s="12"/>
      <x:c r="D153" s="18"/>
      <x:c r="E153" s="12"/>
      <x:c r="F153" s="12"/>
      <x:c r="G153" s="12"/>
      <x:c r="H153" s="12"/>
      <x:c r="I153" s="12"/>
      <x:c r="J153" s="12"/>
      <x:c r="K153" s="12"/>
      <x:c r="L153" s="12"/>
      <x:c r="M153" s="12"/>
    </x:row>
    <x:row r="154">
      <x:c r="A154" s="12"/>
      <x:c r="B154" s="12"/>
      <x:c r="C154" s="12"/>
      <x:c r="D154" s="18"/>
      <x:c r="E154" s="12"/>
      <x:c r="F154" s="12"/>
      <x:c r="G154" s="12"/>
      <x:c r="H154" s="12"/>
      <x:c r="I154" s="12"/>
      <x:c r="J154" s="12"/>
      <x:c r="K154" s="12"/>
      <x:c r="L154" s="12"/>
      <x:c r="M154" s="12"/>
    </x:row>
    <x:row r="155">
      <x:c r="A155" s="12"/>
      <x:c r="B155" s="12"/>
      <x:c r="C155" s="12"/>
      <x:c r="D155" s="18"/>
      <x:c r="E155" s="12"/>
      <x:c r="F155" s="12"/>
      <x:c r="G155" s="12"/>
      <x:c r="H155" s="12"/>
      <x:c r="I155" s="12"/>
      <x:c r="J155" s="12"/>
      <x:c r="K155" s="12"/>
      <x:c r="L155" s="12"/>
      <x:c r="M155" s="12"/>
    </x:row>
    <x:row r="156">
      <x:c r="A156" s="12"/>
      <x:c r="B156" s="12"/>
      <x:c r="C156" s="12"/>
      <x:c r="D156" s="18"/>
      <x:c r="E156" s="12"/>
      <x:c r="F156" s="12"/>
      <x:c r="G156" s="12"/>
      <x:c r="H156" s="12"/>
      <x:c r="I156" s="12"/>
      <x:c r="J156" s="12"/>
      <x:c r="K156" s="12"/>
      <x:c r="L156" s="12"/>
      <x:c r="M156" s="12"/>
    </x:row>
    <x:row r="157">
      <x:c r="A157" s="12"/>
      <x:c r="B157" s="12"/>
      <x:c r="C157" s="12"/>
      <x:c r="D157" s="18"/>
      <x:c r="E157" s="12"/>
      <x:c r="F157" s="12"/>
      <x:c r="G157" s="12"/>
      <x:c r="H157" s="12"/>
      <x:c r="I157" s="12"/>
      <x:c r="J157" s="12"/>
      <x:c r="K157" s="12"/>
      <x:c r="L157" s="12"/>
      <x:c r="M157" s="12"/>
    </x:row>
    <x:row r="158">
      <x:c r="A158" s="12"/>
      <x:c r="B158" s="12"/>
      <x:c r="C158" s="12"/>
      <x:c r="D158" s="18"/>
      <x:c r="E158" s="12"/>
      <x:c r="F158" s="12"/>
      <x:c r="G158" s="12"/>
      <x:c r="H158" s="12"/>
      <x:c r="I158" s="12"/>
      <x:c r="J158" s="12"/>
      <x:c r="K158" s="12"/>
      <x:c r="L158" s="12"/>
      <x:c r="M158" s="12"/>
    </x:row>
    <x:row r="159">
      <x:c r="A159" s="12"/>
      <x:c r="B159" s="12"/>
      <x:c r="C159" s="12"/>
      <x:c r="D159" s="18"/>
      <x:c r="E159" s="12"/>
      <x:c r="F159" s="12"/>
      <x:c r="G159" s="12"/>
      <x:c r="H159" s="12"/>
      <x:c r="I159" s="12"/>
      <x:c r="J159" s="12"/>
      <x:c r="K159" s="12"/>
      <x:c r="L159" s="12"/>
      <x:c r="M159" s="12"/>
    </x:row>
    <x:row r="160">
      <x:c r="A160" s="12"/>
      <x:c r="B160" s="12"/>
      <x:c r="C160" s="12"/>
      <x:c r="D160" s="18"/>
      <x:c r="E160" s="12"/>
      <x:c r="F160" s="12"/>
      <x:c r="G160" s="12"/>
      <x:c r="H160" s="12"/>
      <x:c r="I160" s="12"/>
      <x:c r="J160" s="12"/>
      <x:c r="K160" s="12"/>
      <x:c r="L160" s="12"/>
      <x:c r="M160" s="12"/>
    </x:row>
    <x:row r="161">
      <x:c r="A161" s="12"/>
      <x:c r="B161" s="12"/>
      <x:c r="C161" s="12"/>
      <x:c r="D161" s="18"/>
      <x:c r="E161" s="12"/>
      <x:c r="F161" s="12"/>
      <x:c r="G161" s="12"/>
      <x:c r="H161" s="12"/>
      <x:c r="I161" s="12"/>
      <x:c r="J161" s="12"/>
      <x:c r="K161" s="12"/>
      <x:c r="L161" s="12"/>
      <x:c r="M161" s="12"/>
    </x:row>
    <x:row r="162">
      <x:c r="A162" s="12"/>
      <x:c r="B162" s="12"/>
      <x:c r="C162" s="12"/>
      <x:c r="D162" s="18"/>
      <x:c r="E162" s="12"/>
      <x:c r="F162" s="12"/>
      <x:c r="G162" s="12"/>
      <x:c r="H162" s="12"/>
      <x:c r="I162" s="12"/>
      <x:c r="J162" s="12"/>
      <x:c r="K162" s="12"/>
      <x:c r="L162" s="12"/>
      <x:c r="M162" s="12"/>
    </x:row>
    <x:row r="163">
      <x:c r="A163" s="12"/>
      <x:c r="B163" s="12"/>
      <x:c r="C163" s="12"/>
      <x:c r="D163" s="18"/>
      <x:c r="E163" s="12"/>
      <x:c r="F163" s="12"/>
      <x:c r="G163" s="12"/>
      <x:c r="H163" s="12"/>
      <x:c r="I163" s="12"/>
      <x:c r="J163" s="12"/>
      <x:c r="K163" s="12"/>
      <x:c r="L163" s="12"/>
      <x:c r="M163" s="12"/>
    </x:row>
    <x:row r="164">
      <x:c r="A164" s="12"/>
      <x:c r="B164" s="12"/>
      <x:c r="C164" s="12"/>
      <x:c r="D164" s="18"/>
      <x:c r="E164" s="12"/>
      <x:c r="F164" s="12"/>
      <x:c r="G164" s="12"/>
      <x:c r="H164" s="12"/>
      <x:c r="I164" s="12"/>
      <x:c r="J164" s="12"/>
      <x:c r="K164" s="12"/>
      <x:c r="L164" s="12"/>
      <x:c r="M164" s="12"/>
    </x:row>
    <x:row r="165">
      <x:c r="A165" s="12"/>
      <x:c r="B165" s="12"/>
      <x:c r="C165" s="12"/>
      <x:c r="D165" s="18"/>
      <x:c r="E165" s="12"/>
      <x:c r="F165" s="12"/>
      <x:c r="G165" s="12"/>
      <x:c r="H165" s="12"/>
      <x:c r="I165" s="12"/>
      <x:c r="J165" s="12"/>
      <x:c r="K165" s="12"/>
      <x:c r="L165" s="12"/>
      <x:c r="M165" s="12"/>
    </x:row>
    <x:row r="166">
      <x:c r="A166" s="12"/>
      <x:c r="B166" s="12"/>
      <x:c r="C166" s="12"/>
      <x:c r="D166" s="18"/>
      <x:c r="E166" s="12"/>
      <x:c r="F166" s="12"/>
      <x:c r="G166" s="12"/>
      <x:c r="H166" s="12"/>
      <x:c r="I166" s="12"/>
      <x:c r="J166" s="12"/>
      <x:c r="K166" s="12"/>
      <x:c r="L166" s="12"/>
      <x:c r="M166" s="12"/>
    </x:row>
    <x:row r="167">
      <x:c r="A167" s="12"/>
      <x:c r="B167" s="12"/>
      <x:c r="C167" s="12"/>
      <x:c r="D167" s="18"/>
      <x:c r="E167" s="12"/>
      <x:c r="F167" s="12"/>
      <x:c r="G167" s="12"/>
      <x:c r="H167" s="12"/>
      <x:c r="I167" s="12"/>
      <x:c r="J167" s="12"/>
      <x:c r="K167" s="12"/>
      <x:c r="L167" s="12"/>
      <x:c r="M167" s="12"/>
    </x:row>
    <x:row r="168">
      <x:c r="A168" s="12"/>
      <x:c r="B168" s="12"/>
      <x:c r="C168" s="12"/>
      <x:c r="D168" s="18"/>
      <x:c r="E168" s="12"/>
      <x:c r="F168" s="12"/>
      <x:c r="G168" s="12"/>
      <x:c r="H168" s="12"/>
      <x:c r="I168" s="12"/>
      <x:c r="J168" s="12"/>
      <x:c r="K168" s="12"/>
      <x:c r="L168" s="12"/>
      <x:c r="M168" s="12"/>
    </x:row>
    <x:row r="169">
      <x:c r="A169" s="12"/>
      <x:c r="B169" s="12"/>
      <x:c r="C169" s="12"/>
      <x:c r="D169" s="18"/>
      <x:c r="E169" s="12"/>
      <x:c r="F169" s="12"/>
      <x:c r="G169" s="12"/>
      <x:c r="H169" s="12"/>
      <x:c r="I169" s="12"/>
      <x:c r="J169" s="12"/>
      <x:c r="K169" s="12"/>
      <x:c r="L169" s="12"/>
      <x:c r="M169" s="12"/>
    </x:row>
    <x:row r="170">
      <x:c r="A170" s="12"/>
      <x:c r="B170" s="12"/>
      <x:c r="C170" s="12"/>
      <x:c r="D170" s="18"/>
      <x:c r="E170" s="12"/>
      <x:c r="F170" s="12"/>
      <x:c r="G170" s="12"/>
      <x:c r="H170" s="12"/>
      <x:c r="I170" s="12"/>
      <x:c r="J170" s="12"/>
      <x:c r="K170" s="12"/>
      <x:c r="L170" s="12"/>
      <x:c r="M170" s="12"/>
    </x:row>
    <x:row r="171">
      <x:c r="A171" s="12"/>
      <x:c r="B171" s="12"/>
      <x:c r="C171" s="12"/>
      <x:c r="D171" s="18"/>
      <x:c r="E171" s="12"/>
      <x:c r="F171" s="12"/>
      <x:c r="G171" s="12"/>
      <x:c r="H171" s="12"/>
      <x:c r="I171" s="12"/>
      <x:c r="J171" s="12"/>
      <x:c r="K171" s="12"/>
      <x:c r="L171" s="12"/>
      <x:c r="M171" s="12"/>
    </x:row>
    <x:row r="172">
      <x:c r="A172" s="12"/>
      <x:c r="B172" s="12"/>
      <x:c r="C172" s="12"/>
      <x:c r="D172" s="18"/>
      <x:c r="E172" s="12"/>
      <x:c r="F172" s="12"/>
      <x:c r="G172" s="12"/>
      <x:c r="H172" s="12"/>
      <x:c r="I172" s="12"/>
      <x:c r="J172" s="12"/>
      <x:c r="K172" s="12"/>
      <x:c r="L172" s="12"/>
      <x:c r="M172" s="12"/>
    </x:row>
    <x:row r="173">
      <x:c r="A173" s="12"/>
      <x:c r="B173" s="12"/>
      <x:c r="C173" s="12"/>
      <x:c r="D173" s="18"/>
      <x:c r="E173" s="12"/>
      <x:c r="F173" s="12"/>
      <x:c r="G173" s="12"/>
      <x:c r="H173" s="12"/>
      <x:c r="I173" s="12"/>
      <x:c r="J173" s="12"/>
      <x:c r="K173" s="12"/>
      <x:c r="L173" s="12"/>
      <x:c r="M173" s="12"/>
    </x:row>
    <x:row r="174">
      <x:c r="A174" s="12"/>
      <x:c r="B174" s="12"/>
      <x:c r="C174" s="12"/>
      <x:c r="D174" s="18"/>
      <x:c r="E174" s="12"/>
      <x:c r="F174" s="12"/>
      <x:c r="G174" s="12"/>
      <x:c r="H174" s="12"/>
      <x:c r="I174" s="12"/>
      <x:c r="J174" s="12"/>
      <x:c r="K174" s="12"/>
      <x:c r="L174" s="12"/>
      <x:c r="M174" s="12"/>
    </x:row>
    <x:row r="175">
      <x:c r="A175" s="12"/>
      <x:c r="B175" s="12"/>
      <x:c r="C175" s="12"/>
      <x:c r="D175" s="18"/>
      <x:c r="E175" s="12"/>
      <x:c r="F175" s="12"/>
      <x:c r="G175" s="12"/>
      <x:c r="H175" s="12"/>
      <x:c r="I175" s="12"/>
      <x:c r="J175" s="12"/>
      <x:c r="K175" s="12"/>
      <x:c r="L175" s="12"/>
      <x:c r="M175" s="12"/>
    </x:row>
    <x:row r="176">
      <x:c r="A176" s="12"/>
      <x:c r="B176" s="12"/>
      <x:c r="C176" s="12"/>
      <x:c r="D176" s="18"/>
      <x:c r="E176" s="12"/>
      <x:c r="F176" s="12"/>
      <x:c r="G176" s="12"/>
      <x:c r="H176" s="12"/>
      <x:c r="I176" s="12"/>
      <x:c r="J176" s="12"/>
      <x:c r="K176" s="12"/>
      <x:c r="L176" s="12"/>
      <x:c r="M176" s="12"/>
    </x:row>
    <x:row r="177">
      <x:c r="A177" s="12"/>
      <x:c r="B177" s="12"/>
      <x:c r="C177" s="12"/>
      <x:c r="D177" s="18"/>
      <x:c r="E177" s="12"/>
      <x:c r="F177" s="12"/>
      <x:c r="G177" s="12"/>
      <x:c r="H177" s="12"/>
      <x:c r="I177" s="12"/>
      <x:c r="J177" s="12"/>
      <x:c r="K177" s="12"/>
      <x:c r="L177" s="12"/>
      <x:c r="M177" s="12"/>
    </x:row>
    <x:row r="178">
      <x:c r="A178" s="12"/>
      <x:c r="B178" s="12"/>
      <x:c r="C178" s="12"/>
      <x:c r="D178" s="18"/>
      <x:c r="E178" s="12"/>
      <x:c r="F178" s="12"/>
      <x:c r="G178" s="12"/>
      <x:c r="H178" s="12"/>
      <x:c r="I178" s="12"/>
      <x:c r="J178" s="12"/>
      <x:c r="K178" s="12"/>
      <x:c r="L178" s="12"/>
      <x:c r="M178" s="12"/>
    </x:row>
    <x:row r="179">
      <x:c r="A179" s="12"/>
      <x:c r="B179" s="12"/>
      <x:c r="C179" s="12"/>
      <x:c r="D179" s="18"/>
      <x:c r="E179" s="12"/>
      <x:c r="F179" s="12"/>
      <x:c r="G179" s="12"/>
      <x:c r="H179" s="12"/>
      <x:c r="I179" s="12"/>
      <x:c r="J179" s="12"/>
      <x:c r="K179" s="12"/>
      <x:c r="L179" s="12"/>
      <x:c r="M179" s="12"/>
    </x:row>
    <x:row r="180">
      <x:c r="A180" s="12"/>
      <x:c r="B180" s="12"/>
      <x:c r="C180" s="12"/>
      <x:c r="D180" s="18"/>
      <x:c r="E180" s="12"/>
      <x:c r="F180" s="12"/>
      <x:c r="G180" s="12"/>
      <x:c r="H180" s="12"/>
      <x:c r="I180" s="12"/>
      <x:c r="J180" s="12"/>
      <x:c r="K180" s="12"/>
      <x:c r="L180" s="12"/>
      <x:c r="M180" s="12"/>
    </x:row>
    <x:row r="181">
      <x:c r="A181" s="12"/>
      <x:c r="B181" s="12"/>
      <x:c r="C181" s="12"/>
      <x:c r="D181" s="18"/>
      <x:c r="E181" s="12"/>
      <x:c r="F181" s="12"/>
      <x:c r="G181" s="12"/>
      <x:c r="H181" s="12"/>
      <x:c r="I181" s="12"/>
      <x:c r="J181" s="12"/>
      <x:c r="K181" s="12"/>
      <x:c r="L181" s="12"/>
      <x:c r="M181" s="12"/>
    </x:row>
    <x:row r="182">
      <x:c r="A182" s="12"/>
      <x:c r="B182" s="12"/>
      <x:c r="C182" s="12"/>
      <x:c r="D182" s="18"/>
      <x:c r="E182" s="12"/>
      <x:c r="F182" s="12"/>
      <x:c r="G182" s="12"/>
      <x:c r="H182" s="12"/>
      <x:c r="I182" s="12"/>
      <x:c r="J182" s="12"/>
      <x:c r="K182" s="12"/>
      <x:c r="L182" s="12"/>
      <x:c r="M182" s="12"/>
    </x:row>
    <x:row r="183">
      <x:c r="A183" s="12"/>
      <x:c r="B183" s="12"/>
      <x:c r="C183" s="12"/>
      <x:c r="D183" s="18"/>
      <x:c r="E183" s="12"/>
      <x:c r="F183" s="12"/>
      <x:c r="G183" s="12"/>
      <x:c r="H183" s="12"/>
      <x:c r="I183" s="12"/>
      <x:c r="J183" s="12"/>
      <x:c r="K183" s="12"/>
      <x:c r="L183" s="12"/>
      <x:c r="M183" s="12"/>
    </x:row>
    <x:row r="184">
      <x:c r="A184" s="12"/>
      <x:c r="B184" s="12"/>
      <x:c r="C184" s="12"/>
      <x:c r="D184" s="18"/>
      <x:c r="E184" s="12"/>
      <x:c r="F184" s="12"/>
      <x:c r="G184" s="12"/>
      <x:c r="H184" s="12"/>
      <x:c r="I184" s="12"/>
      <x:c r="J184" s="12"/>
      <x:c r="K184" s="12"/>
      <x:c r="L184" s="12"/>
      <x:c r="M184" s="12"/>
    </x:row>
    <x:row r="185">
      <x:c r="A185" s="12"/>
      <x:c r="B185" s="12"/>
      <x:c r="C185" s="12"/>
      <x:c r="D185" s="18"/>
      <x:c r="E185" s="12"/>
      <x:c r="F185" s="12"/>
      <x:c r="G185" s="12"/>
      <x:c r="H185" s="12"/>
      <x:c r="I185" s="12"/>
      <x:c r="J185" s="12"/>
      <x:c r="K185" s="12"/>
      <x:c r="L185" s="12"/>
      <x:c r="M185" s="12"/>
    </x:row>
    <x:row r="186">
      <x:c r="A186" s="12"/>
      <x:c r="B186" s="12"/>
      <x:c r="C186" s="12"/>
      <x:c r="D186" s="18"/>
      <x:c r="E186" s="12"/>
      <x:c r="F186" s="12"/>
      <x:c r="G186" s="12"/>
      <x:c r="H186" s="12"/>
      <x:c r="I186" s="12"/>
      <x:c r="J186" s="12"/>
      <x:c r="K186" s="12"/>
      <x:c r="L186" s="12"/>
      <x:c r="M186" s="12"/>
    </x:row>
    <x:row r="187">
      <x:c r="A187" s="12"/>
      <x:c r="B187" s="12"/>
      <x:c r="C187" s="12"/>
      <x:c r="D187" s="18"/>
      <x:c r="E187" s="12"/>
      <x:c r="F187" s="12"/>
      <x:c r="G187" s="12"/>
      <x:c r="H187" s="12"/>
      <x:c r="I187" s="12"/>
      <x:c r="J187" s="12"/>
      <x:c r="K187" s="12"/>
      <x:c r="L187" s="12"/>
      <x:c r="M187" s="12"/>
    </x:row>
    <x:row r="188">
      <x:c r="A188" s="12"/>
      <x:c r="B188" s="12"/>
      <x:c r="C188" s="12"/>
      <x:c r="D188" s="18"/>
      <x:c r="E188" s="12"/>
      <x:c r="F188" s="12"/>
      <x:c r="G188" s="12"/>
      <x:c r="H188" s="12"/>
      <x:c r="I188" s="12"/>
      <x:c r="J188" s="12"/>
      <x:c r="K188" s="12"/>
      <x:c r="L188" s="12"/>
      <x:c r="M188" s="12"/>
    </x:row>
    <x:row r="189">
      <x:c r="A189" s="12"/>
      <x:c r="B189" s="12"/>
      <x:c r="C189" s="12"/>
      <x:c r="D189" s="18"/>
      <x:c r="E189" s="12"/>
      <x:c r="F189" s="12"/>
      <x:c r="G189" s="12"/>
      <x:c r="H189" s="12"/>
      <x:c r="I189" s="12"/>
      <x:c r="J189" s="12"/>
      <x:c r="K189" s="12"/>
      <x:c r="L189" s="12"/>
      <x:c r="M189" s="12"/>
    </x:row>
    <x:row r="190">
      <x:c r="A190" s="12"/>
      <x:c r="B190" s="12"/>
      <x:c r="C190" s="12"/>
      <x:c r="D190" s="18"/>
      <x:c r="E190" s="12"/>
      <x:c r="F190" s="12"/>
      <x:c r="G190" s="12"/>
      <x:c r="H190" s="12"/>
      <x:c r="I190" s="12"/>
      <x:c r="J190" s="12"/>
      <x:c r="K190" s="12"/>
      <x:c r="L190" s="12"/>
      <x:c r="M190" s="12"/>
    </x:row>
    <x:row r="191">
      <x:c r="A191" s="12"/>
      <x:c r="B191" s="12"/>
      <x:c r="C191" s="12"/>
      <x:c r="D191" s="18"/>
      <x:c r="E191" s="12"/>
      <x:c r="F191" s="12"/>
      <x:c r="G191" s="12"/>
      <x:c r="H191" s="12"/>
      <x:c r="I191" s="12"/>
      <x:c r="J191" s="12"/>
      <x:c r="K191" s="12"/>
      <x:c r="L191" s="12"/>
      <x:c r="M191" s="12"/>
    </x:row>
    <x:row r="192">
      <x:c r="A192" s="12"/>
      <x:c r="B192" s="12"/>
      <x:c r="C192" s="12"/>
      <x:c r="D192" s="18"/>
      <x:c r="E192" s="12"/>
      <x:c r="F192" s="12"/>
      <x:c r="G192" s="12"/>
      <x:c r="H192" s="12"/>
      <x:c r="I192" s="12"/>
      <x:c r="J192" s="12"/>
      <x:c r="K192" s="12"/>
      <x:c r="L192" s="12"/>
      <x:c r="M192" s="12"/>
    </x:row>
    <x:row r="193">
      <x:c r="A193" s="12"/>
      <x:c r="B193" s="12"/>
      <x:c r="C193" s="12"/>
      <x:c r="D193" s="18"/>
      <x:c r="E193" s="12"/>
      <x:c r="F193" s="12"/>
      <x:c r="G193" s="12"/>
      <x:c r="H193" s="12"/>
      <x:c r="I193" s="12"/>
      <x:c r="J193" s="12"/>
      <x:c r="K193" s="12"/>
      <x:c r="L193" s="12"/>
      <x:c r="M193" s="12"/>
    </x:row>
    <x:row r="194">
      <x:c r="A194" s="12"/>
      <x:c r="B194" s="12"/>
      <x:c r="C194" s="12"/>
      <x:c r="D194" s="18"/>
      <x:c r="E194" s="12"/>
      <x:c r="F194" s="12"/>
      <x:c r="G194" s="12"/>
      <x:c r="H194" s="12"/>
      <x:c r="I194" s="12"/>
      <x:c r="J194" s="12"/>
      <x:c r="K194" s="12"/>
      <x:c r="L194" s="12"/>
      <x:c r="M194" s="12"/>
    </x:row>
    <x:row r="195">
      <x:c r="A195" s="12"/>
      <x:c r="B195" s="12"/>
      <x:c r="C195" s="12"/>
      <x:c r="D195" s="18"/>
      <x:c r="E195" s="12"/>
      <x:c r="F195" s="12"/>
      <x:c r="G195" s="12"/>
      <x:c r="H195" s="12"/>
      <x:c r="I195" s="12"/>
      <x:c r="J195" s="12"/>
      <x:c r="K195" s="12"/>
      <x:c r="L195" s="12"/>
      <x:c r="M195" s="12"/>
    </x:row>
    <x:row r="196">
      <x:c r="A196" s="12"/>
      <x:c r="B196" s="12"/>
      <x:c r="C196" s="12"/>
      <x:c r="D196" s="18"/>
      <x:c r="E196" s="12"/>
      <x:c r="F196" s="12"/>
      <x:c r="G196" s="12"/>
      <x:c r="H196" s="12"/>
      <x:c r="I196" s="12"/>
      <x:c r="J196" s="12"/>
      <x:c r="K196" s="12"/>
      <x:c r="L196" s="12"/>
      <x:c r="M196" s="12"/>
    </x:row>
    <x:row r="197">
      <x:c r="A197" s="12"/>
      <x:c r="B197" s="12"/>
      <x:c r="C197" s="12"/>
      <x:c r="D197" s="18"/>
      <x:c r="E197" s="12"/>
      <x:c r="F197" s="12"/>
      <x:c r="G197" s="12"/>
      <x:c r="H197" s="12"/>
      <x:c r="I197" s="12"/>
      <x:c r="J197" s="12"/>
      <x:c r="K197" s="12"/>
      <x:c r="L197" s="12"/>
      <x:c r="M197" s="12"/>
    </x:row>
    <x:row r="198">
      <x:c r="A198" s="12"/>
      <x:c r="B198" s="12"/>
      <x:c r="C198" s="12"/>
      <x:c r="D198" s="18"/>
      <x:c r="E198" s="12"/>
      <x:c r="F198" s="12"/>
      <x:c r="G198" s="12"/>
      <x:c r="H198" s="12"/>
      <x:c r="I198" s="12"/>
      <x:c r="J198" s="12"/>
      <x:c r="K198" s="12"/>
      <x:c r="L198" s="12"/>
      <x:c r="M198" s="12"/>
    </x:row>
    <x:row r="199">
      <x:c r="A199" s="12"/>
      <x:c r="B199" s="12"/>
      <x:c r="C199" s="12"/>
      <x:c r="D199" s="18"/>
      <x:c r="E199" s="12"/>
      <x:c r="F199" s="12"/>
      <x:c r="G199" s="12"/>
      <x:c r="H199" s="12"/>
      <x:c r="I199" s="12"/>
      <x:c r="J199" s="12"/>
      <x:c r="K199" s="12"/>
      <x:c r="L199" s="12"/>
      <x:c r="M199" s="12"/>
    </x:row>
    <x:row r="200">
      <x:c r="A200" s="12"/>
      <x:c r="B200" s="12"/>
      <x:c r="C200" s="12"/>
      <x:c r="D200" s="18"/>
      <x:c r="E200" s="12"/>
      <x:c r="F200" s="12"/>
      <x:c r="G200" s="12"/>
      <x:c r="H200" s="12"/>
      <x:c r="I200" s="12"/>
      <x:c r="J200" s="12"/>
      <x:c r="K200" s="12"/>
      <x:c r="L200" s="12"/>
      <x:c r="M200" s="12"/>
    </x:row>
    <x:row r="201">
      <x:c r="A201" s="12"/>
      <x:c r="B201" s="12"/>
      <x:c r="C201" s="12"/>
      <x:c r="D201" s="18"/>
      <x:c r="E201" s="12"/>
      <x:c r="F201" s="12"/>
      <x:c r="G201" s="12"/>
      <x:c r="H201" s="12"/>
      <x:c r="I201" s="12"/>
      <x:c r="J201" s="12"/>
      <x:c r="K201" s="12"/>
      <x:c r="L201" s="12"/>
      <x:c r="M201" s="12"/>
    </x:row>
    <x:row r="202">
      <x:c r="A202" s="12"/>
      <x:c r="B202" s="12"/>
      <x:c r="C202" s="12"/>
      <x:c r="D202" s="18"/>
      <x:c r="E202" s="12"/>
      <x:c r="F202" s="12"/>
      <x:c r="G202" s="12"/>
      <x:c r="H202" s="12"/>
      <x:c r="I202" s="12"/>
      <x:c r="J202" s="12"/>
      <x:c r="K202" s="12"/>
      <x:c r="L202" s="12"/>
      <x:c r="M202" s="12"/>
    </x:row>
    <x:row r="203">
      <x:c r="A203" s="12"/>
      <x:c r="B203" s="12"/>
      <x:c r="C203" s="12"/>
      <x:c r="D203" s="18"/>
      <x:c r="E203" s="12"/>
      <x:c r="F203" s="12"/>
      <x:c r="G203" s="12"/>
      <x:c r="H203" s="12"/>
      <x:c r="I203" s="12"/>
      <x:c r="J203" s="12"/>
      <x:c r="K203" s="12"/>
      <x:c r="L203" s="12"/>
      <x:c r="M203" s="12"/>
    </x:row>
    <x:row r="204">
      <x:c r="A204" s="12"/>
      <x:c r="B204" s="12"/>
      <x:c r="C204" s="12"/>
      <x:c r="D204" s="18"/>
      <x:c r="E204" s="12"/>
      <x:c r="F204" s="12"/>
      <x:c r="G204" s="12"/>
      <x:c r="H204" s="12"/>
      <x:c r="I204" s="12"/>
      <x:c r="J204" s="12"/>
      <x:c r="K204" s="12"/>
      <x:c r="L204" s="12"/>
      <x:c r="M204" s="12"/>
    </x:row>
    <x:row r="205">
      <x:c r="A205" s="12"/>
      <x:c r="B205" s="12"/>
      <x:c r="C205" s="12"/>
      <x:c r="D205" s="18"/>
      <x:c r="E205" s="12"/>
      <x:c r="F205" s="12"/>
      <x:c r="G205" s="12"/>
      <x:c r="H205" s="12"/>
      <x:c r="I205" s="12"/>
      <x:c r="J205" s="12"/>
      <x:c r="K205" s="12"/>
      <x:c r="L205" s="12"/>
      <x:c r="M205" s="12"/>
    </x:row>
    <x:row r="206">
      <x:c r="A206" s="12"/>
      <x:c r="B206" s="12"/>
      <x:c r="C206" s="12"/>
      <x:c r="D206" s="18"/>
      <x:c r="E206" s="12"/>
      <x:c r="F206" s="12"/>
      <x:c r="G206" s="12"/>
      <x:c r="H206" s="12"/>
      <x:c r="I206" s="12"/>
      <x:c r="J206" s="12"/>
      <x:c r="K206" s="12"/>
      <x:c r="L206" s="12"/>
      <x:c r="M206" s="12"/>
    </x:row>
    <x:row r="207">
      <x:c r="A207" s="12"/>
      <x:c r="B207" s="12"/>
      <x:c r="C207" s="12"/>
      <x:c r="D207" s="18"/>
      <x:c r="E207" s="12"/>
      <x:c r="F207" s="12"/>
      <x:c r="G207" s="12"/>
      <x:c r="H207" s="12"/>
      <x:c r="I207" s="12"/>
      <x:c r="J207" s="12"/>
      <x:c r="K207" s="12"/>
      <x:c r="L207" s="12"/>
      <x:c r="M207" s="12"/>
    </x:row>
    <x:row r="208">
      <x:c r="A208" s="12"/>
      <x:c r="B208" s="12"/>
      <x:c r="C208" s="12"/>
      <x:c r="D208" s="18"/>
      <x:c r="E208" s="12"/>
      <x:c r="F208" s="12"/>
      <x:c r="G208" s="12"/>
      <x:c r="H208" s="12"/>
      <x:c r="I208" s="12"/>
      <x:c r="J208" s="12"/>
      <x:c r="K208" s="12"/>
      <x:c r="L208" s="12"/>
      <x:c r="M208" s="12"/>
    </x:row>
    <x:row r="209">
      <x:c r="A209" s="12"/>
      <x:c r="B209" s="12"/>
      <x:c r="C209" s="12"/>
      <x:c r="D209" s="18"/>
      <x:c r="E209" s="12"/>
      <x:c r="F209" s="12"/>
      <x:c r="G209" s="12"/>
      <x:c r="H209" s="12"/>
      <x:c r="I209" s="12"/>
      <x:c r="J209" s="12"/>
      <x:c r="K209" s="12"/>
      <x:c r="L209" s="12"/>
      <x:c r="M209" s="12"/>
    </x:row>
    <x:row r="210">
      <x:c r="A210" s="12"/>
      <x:c r="B210" s="12"/>
      <x:c r="C210" s="12"/>
      <x:c r="D210" s="18"/>
      <x:c r="E210" s="12"/>
      <x:c r="F210" s="12"/>
      <x:c r="G210" s="12"/>
      <x:c r="H210" s="12"/>
      <x:c r="I210" s="12"/>
      <x:c r="J210" s="12"/>
      <x:c r="K210" s="12"/>
      <x:c r="L210" s="12"/>
      <x:c r="M210" s="12"/>
    </x:row>
    <x:row r="211">
      <x:c r="A211" s="12"/>
      <x:c r="B211" s="12"/>
      <x:c r="C211" s="12"/>
      <x:c r="D211" s="18"/>
      <x:c r="E211" s="12"/>
      <x:c r="F211" s="12"/>
      <x:c r="G211" s="12"/>
      <x:c r="H211" s="12"/>
      <x:c r="I211" s="12"/>
      <x:c r="J211" s="12"/>
      <x:c r="K211" s="12"/>
      <x:c r="L211" s="12"/>
      <x:c r="M211" s="12"/>
    </x:row>
    <x:row r="212">
      <x:c r="A212" s="12"/>
      <x:c r="B212" s="12"/>
      <x:c r="C212" s="12"/>
      <x:c r="D212" s="18"/>
      <x:c r="E212" s="12"/>
      <x:c r="F212" s="12"/>
      <x:c r="G212" s="12"/>
      <x:c r="H212" s="12"/>
      <x:c r="I212" s="12"/>
      <x:c r="J212" s="12"/>
      <x:c r="K212" s="12"/>
      <x:c r="L212" s="12"/>
      <x:c r="M212" s="12"/>
    </x:row>
    <x:row r="213">
      <x:c r="A213" s="12"/>
      <x:c r="B213" s="12"/>
      <x:c r="C213" s="12"/>
      <x:c r="D213" s="18"/>
      <x:c r="E213" s="12"/>
      <x:c r="F213" s="12"/>
      <x:c r="G213" s="12"/>
      <x:c r="H213" s="12"/>
      <x:c r="I213" s="12"/>
      <x:c r="J213" s="12"/>
      <x:c r="K213" s="12"/>
      <x:c r="L213" s="12"/>
      <x:c r="M213" s="12"/>
    </x:row>
    <x:row r="214">
      <x:c r="A214" s="12"/>
      <x:c r="B214" s="12"/>
      <x:c r="C214" s="12"/>
      <x:c r="D214" s="18"/>
      <x:c r="E214" s="12"/>
      <x:c r="F214" s="12"/>
      <x:c r="G214" s="12"/>
      <x:c r="H214" s="12"/>
      <x:c r="I214" s="12"/>
      <x:c r="J214" s="12"/>
      <x:c r="K214" s="12"/>
      <x:c r="L214" s="12"/>
      <x:c r="M214" s="12"/>
    </x:row>
    <x:row r="215">
      <x:c r="A215" s="12"/>
      <x:c r="B215" s="12"/>
      <x:c r="C215" s="12"/>
      <x:c r="D215" s="18"/>
      <x:c r="E215" s="12"/>
      <x:c r="F215" s="12"/>
      <x:c r="G215" s="12"/>
      <x:c r="H215" s="12"/>
      <x:c r="I215" s="12"/>
      <x:c r="J215" s="12"/>
      <x:c r="K215" s="12"/>
      <x:c r="L215" s="12"/>
      <x:c r="M215" s="12"/>
    </x:row>
    <x:row r="216">
      <x:c r="A216" s="12"/>
      <x:c r="B216" s="12"/>
      <x:c r="C216" s="12"/>
      <x:c r="D216" s="18"/>
      <x:c r="E216" s="12"/>
      <x:c r="F216" s="12"/>
      <x:c r="G216" s="12"/>
      <x:c r="H216" s="12"/>
      <x:c r="I216" s="12"/>
      <x:c r="J216" s="12"/>
      <x:c r="K216" s="12"/>
      <x:c r="L216" s="12"/>
      <x:c r="M216" s="12"/>
    </x:row>
    <x:row r="217">
      <x:c r="A217" s="12"/>
      <x:c r="B217" s="12"/>
      <x:c r="C217" s="12"/>
      <x:c r="D217" s="18"/>
      <x:c r="E217" s="12"/>
      <x:c r="F217" s="12"/>
      <x:c r="G217" s="12"/>
      <x:c r="H217" s="12"/>
      <x:c r="I217" s="12"/>
      <x:c r="J217" s="12"/>
      <x:c r="K217" s="12"/>
      <x:c r="L217" s="12"/>
      <x:c r="M217" s="12"/>
    </x:row>
    <x:row r="218">
      <x:c r="A218" s="12"/>
      <x:c r="B218" s="12"/>
      <x:c r="C218" s="12"/>
      <x:c r="D218" s="18"/>
      <x:c r="E218" s="12"/>
      <x:c r="F218" s="12"/>
      <x:c r="G218" s="12"/>
      <x:c r="H218" s="12"/>
      <x:c r="I218" s="12"/>
      <x:c r="J218" s="12"/>
      <x:c r="K218" s="12"/>
      <x:c r="L218" s="12"/>
      <x:c r="M218" s="12"/>
    </x:row>
    <x:row r="219">
      <x:c r="A219" s="12"/>
      <x:c r="B219" s="12"/>
      <x:c r="C219" s="12"/>
      <x:c r="D219" s="18"/>
      <x:c r="E219" s="12"/>
      <x:c r="F219" s="12"/>
      <x:c r="G219" s="12"/>
      <x:c r="H219" s="12"/>
      <x:c r="I219" s="12"/>
      <x:c r="J219" s="12"/>
      <x:c r="K219" s="12"/>
      <x:c r="L219" s="12"/>
      <x:c r="M219" s="12"/>
    </x:row>
    <x:row r="220">
      <x:c r="A220" s="12"/>
      <x:c r="B220" s="12"/>
      <x:c r="C220" s="12"/>
      <x:c r="D220" s="18"/>
      <x:c r="E220" s="12"/>
      <x:c r="F220" s="12"/>
      <x:c r="G220" s="12"/>
      <x:c r="H220" s="12"/>
      <x:c r="I220" s="12"/>
      <x:c r="J220" s="12"/>
      <x:c r="K220" s="12"/>
      <x:c r="L220" s="12"/>
      <x:c r="M220" s="12"/>
    </x:row>
    <x:row r="221">
      <x:c r="A221" s="12"/>
      <x:c r="B221" s="12"/>
      <x:c r="C221" s="12"/>
      <x:c r="D221" s="18"/>
      <x:c r="E221" s="12"/>
      <x:c r="F221" s="12"/>
      <x:c r="G221" s="12"/>
      <x:c r="H221" s="12"/>
      <x:c r="I221" s="12"/>
      <x:c r="J221" s="12"/>
      <x:c r="K221" s="12"/>
      <x:c r="L221" s="12"/>
      <x:c r="M221" s="12"/>
    </x:row>
    <x:row r="222">
      <x:c r="A222" s="12"/>
      <x:c r="B222" s="12"/>
      <x:c r="C222" s="12"/>
      <x:c r="D222" s="18"/>
      <x:c r="E222" s="12"/>
      <x:c r="F222" s="12"/>
      <x:c r="G222" s="12"/>
      <x:c r="H222" s="12"/>
      <x:c r="I222" s="12"/>
      <x:c r="J222" s="12"/>
      <x:c r="K222" s="12"/>
      <x:c r="L222" s="12"/>
      <x:c r="M222" s="12"/>
    </x:row>
    <x:row r="223">
      <x:c r="A223" s="12"/>
      <x:c r="B223" s="12"/>
      <x:c r="C223" s="12"/>
      <x:c r="D223" s="18"/>
      <x:c r="E223" s="12"/>
      <x:c r="F223" s="12"/>
      <x:c r="G223" s="12"/>
      <x:c r="H223" s="12"/>
      <x:c r="I223" s="12"/>
      <x:c r="J223" s="12"/>
      <x:c r="K223" s="12"/>
      <x:c r="L223" s="12"/>
      <x:c r="M223" s="12"/>
    </x:row>
    <x:row r="224">
      <x:c r="A224" s="12"/>
      <x:c r="B224" s="12"/>
      <x:c r="C224" s="12"/>
      <x:c r="D224" s="18"/>
      <x:c r="E224" s="12"/>
      <x:c r="F224" s="12"/>
      <x:c r="G224" s="12"/>
      <x:c r="H224" s="12"/>
      <x:c r="I224" s="12"/>
      <x:c r="J224" s="12"/>
      <x:c r="K224" s="12"/>
      <x:c r="L224" s="12"/>
      <x:c r="M224" s="12"/>
    </x:row>
    <x:row r="225">
      <x:c r="A225" s="12"/>
      <x:c r="B225" s="12"/>
      <x:c r="C225" s="12"/>
      <x:c r="D225" s="18"/>
      <x:c r="E225" s="12"/>
      <x:c r="F225" s="12"/>
      <x:c r="G225" s="12"/>
      <x:c r="H225" s="12"/>
      <x:c r="I225" s="12"/>
      <x:c r="J225" s="12"/>
      <x:c r="K225" s="12"/>
      <x:c r="L225" s="12"/>
      <x:c r="M225" s="12"/>
    </x:row>
    <x:row r="226">
      <x:c r="A226" s="12"/>
      <x:c r="B226" s="12"/>
      <x:c r="C226" s="12"/>
      <x:c r="D226" s="18"/>
      <x:c r="E226" s="12"/>
      <x:c r="F226" s="12"/>
      <x:c r="G226" s="12"/>
      <x:c r="H226" s="12"/>
      <x:c r="I226" s="12"/>
      <x:c r="J226" s="12"/>
      <x:c r="K226" s="12"/>
      <x:c r="L226" s="12"/>
      <x:c r="M226" s="12"/>
    </x:row>
    <x:row r="227">
      <x:c r="A227" s="12"/>
      <x:c r="B227" s="12"/>
      <x:c r="C227" s="12"/>
      <x:c r="D227" s="18"/>
      <x:c r="E227" s="12"/>
      <x:c r="F227" s="12"/>
      <x:c r="G227" s="12"/>
      <x:c r="H227" s="12"/>
      <x:c r="I227" s="12"/>
      <x:c r="J227" s="12"/>
      <x:c r="K227" s="12"/>
      <x:c r="L227" s="12"/>
      <x:c r="M227" s="12"/>
    </x:row>
    <x:row r="228">
      <x:c r="A228" s="12"/>
      <x:c r="B228" s="12"/>
      <x:c r="C228" s="12"/>
      <x:c r="D228" s="18"/>
      <x:c r="E228" s="12"/>
      <x:c r="F228" s="12"/>
      <x:c r="G228" s="12"/>
      <x:c r="H228" s="12"/>
      <x:c r="I228" s="12"/>
      <x:c r="J228" s="12"/>
      <x:c r="K228" s="12"/>
      <x:c r="L228" s="12"/>
      <x:c r="M228" s="12"/>
    </x:row>
    <x:row r="229">
      <x:c r="A229" s="12"/>
      <x:c r="B229" s="12"/>
      <x:c r="C229" s="12"/>
      <x:c r="D229" s="18"/>
      <x:c r="E229" s="12"/>
      <x:c r="F229" s="12"/>
      <x:c r="G229" s="12"/>
      <x:c r="H229" s="12"/>
      <x:c r="I229" s="12"/>
      <x:c r="J229" s="12"/>
      <x:c r="K229" s="12"/>
      <x:c r="L229" s="12"/>
      <x:c r="M229" s="12"/>
    </x:row>
    <x:row r="230">
      <x:c r="A230" s="12"/>
      <x:c r="B230" s="12"/>
      <x:c r="C230" s="12"/>
      <x:c r="D230" s="18"/>
      <x:c r="E230" s="12"/>
      <x:c r="F230" s="12"/>
      <x:c r="G230" s="12"/>
      <x:c r="H230" s="12"/>
      <x:c r="I230" s="12"/>
      <x:c r="J230" s="12"/>
      <x:c r="K230" s="12"/>
      <x:c r="L230" s="12"/>
      <x:c r="M230" s="12"/>
    </x:row>
    <x:row r="231">
      <x:c r="A231" s="12"/>
      <x:c r="B231" s="12"/>
      <x:c r="C231" s="12"/>
      <x:c r="D231" s="18"/>
      <x:c r="E231" s="12"/>
      <x:c r="F231" s="12"/>
      <x:c r="G231" s="12"/>
      <x:c r="H231" s="12"/>
      <x:c r="I231" s="12"/>
      <x:c r="J231" s="12"/>
      <x:c r="K231" s="12"/>
      <x:c r="L231" s="12"/>
      <x:c r="M231" s="12"/>
    </x:row>
    <x:row r="232">
      <x:c r="A232" s="12"/>
      <x:c r="B232" s="12"/>
      <x:c r="C232" s="12"/>
      <x:c r="D232" s="18"/>
      <x:c r="E232" s="12"/>
      <x:c r="F232" s="12"/>
      <x:c r="G232" s="12"/>
      <x:c r="H232" s="12"/>
      <x:c r="I232" s="12"/>
      <x:c r="J232" s="12"/>
      <x:c r="K232" s="12"/>
      <x:c r="L232" s="12"/>
      <x:c r="M232" s="12"/>
    </x:row>
    <x:row r="233">
      <x:c r="A233" s="12"/>
      <x:c r="B233" s="12"/>
      <x:c r="C233" s="12"/>
      <x:c r="D233" s="18"/>
      <x:c r="E233" s="12"/>
      <x:c r="F233" s="12"/>
      <x:c r="G233" s="12"/>
      <x:c r="H233" s="12"/>
      <x:c r="I233" s="12"/>
      <x:c r="J233" s="12"/>
      <x:c r="K233" s="12"/>
      <x:c r="L233" s="12"/>
      <x:c r="M233" s="12"/>
    </x:row>
    <x:row r="234">
      <x:c r="A234" s="12"/>
      <x:c r="B234" s="12"/>
      <x:c r="C234" s="12"/>
      <x:c r="D234" s="18"/>
      <x:c r="E234" s="12"/>
      <x:c r="F234" s="12"/>
      <x:c r="G234" s="12"/>
      <x:c r="H234" s="12"/>
      <x:c r="I234" s="12"/>
      <x:c r="J234" s="12"/>
      <x:c r="K234" s="12"/>
      <x:c r="L234" s="12"/>
      <x:c r="M234" s="12"/>
    </x:row>
    <x:row r="235">
      <x:c r="A235" s="12"/>
      <x:c r="B235" s="12"/>
      <x:c r="C235" s="12"/>
      <x:c r="D235" s="18"/>
      <x:c r="E235" s="12"/>
      <x:c r="F235" s="12"/>
      <x:c r="G235" s="12"/>
      <x:c r="H235" s="12"/>
      <x:c r="I235" s="12"/>
      <x:c r="J235" s="12"/>
      <x:c r="K235" s="12"/>
      <x:c r="L235" s="12"/>
      <x:c r="M235" s="12"/>
    </x:row>
    <x:row r="236">
      <x:c r="A236" s="12"/>
      <x:c r="B236" s="12"/>
      <x:c r="C236" s="12"/>
      <x:c r="D236" s="18"/>
      <x:c r="E236" s="12"/>
      <x:c r="F236" s="12"/>
      <x:c r="G236" s="12"/>
      <x:c r="H236" s="12"/>
      <x:c r="I236" s="12"/>
      <x:c r="J236" s="12"/>
      <x:c r="K236" s="12"/>
      <x:c r="L236" s="12"/>
      <x:c r="M236" s="12"/>
    </x:row>
    <x:row r="237">
      <x:c r="A237" s="12"/>
      <x:c r="B237" s="12"/>
      <x:c r="C237" s="12"/>
      <x:c r="D237" s="18"/>
      <x:c r="E237" s="12"/>
      <x:c r="F237" s="12"/>
      <x:c r="G237" s="12"/>
      <x:c r="H237" s="12"/>
      <x:c r="I237" s="12"/>
      <x:c r="J237" s="12"/>
      <x:c r="K237" s="12"/>
      <x:c r="L237" s="12"/>
      <x:c r="M237" s="12"/>
    </x:row>
    <x:row r="238">
      <x:c r="A238" s="12"/>
      <x:c r="B238" s="12"/>
      <x:c r="C238" s="12"/>
      <x:c r="D238" s="18"/>
      <x:c r="E238" s="12"/>
      <x:c r="F238" s="12"/>
      <x:c r="G238" s="12"/>
      <x:c r="H238" s="12"/>
      <x:c r="I238" s="12"/>
      <x:c r="J238" s="12"/>
      <x:c r="K238" s="12"/>
      <x:c r="L238" s="12"/>
      <x:c r="M238" s="12"/>
    </x:row>
    <x:row r="239">
      <x:c r="A239" s="12"/>
      <x:c r="B239" s="12"/>
      <x:c r="C239" s="12"/>
      <x:c r="D239" s="18"/>
      <x:c r="E239" s="12"/>
      <x:c r="F239" s="12"/>
      <x:c r="G239" s="12"/>
      <x:c r="H239" s="12"/>
      <x:c r="I239" s="12"/>
      <x:c r="J239" s="12"/>
      <x:c r="K239" s="12"/>
      <x:c r="L239" s="12"/>
      <x:c r="M239" s="12"/>
    </x:row>
    <x:row r="240">
      <x:c r="A240" s="12"/>
      <x:c r="B240" s="12"/>
      <x:c r="C240" s="12"/>
      <x:c r="D240" s="18"/>
      <x:c r="E240" s="12"/>
      <x:c r="F240" s="12"/>
      <x:c r="G240" s="12"/>
      <x:c r="H240" s="12"/>
      <x:c r="I240" s="12"/>
      <x:c r="J240" s="12"/>
      <x:c r="K240" s="12"/>
      <x:c r="L240" s="12"/>
      <x:c r="M240" s="12"/>
    </x:row>
    <x:row r="241">
      <x:c r="A241" s="12"/>
      <x:c r="B241" s="12"/>
      <x:c r="C241" s="12"/>
      <x:c r="D241" s="18"/>
      <x:c r="E241" s="12"/>
      <x:c r="F241" s="12"/>
      <x:c r="G241" s="12"/>
      <x:c r="H241" s="12"/>
      <x:c r="I241" s="12"/>
      <x:c r="J241" s="12"/>
      <x:c r="K241" s="12"/>
      <x:c r="L241" s="12"/>
      <x:c r="M241" s="12"/>
    </x:row>
    <x:row r="242">
      <x:c r="A242" s="12"/>
      <x:c r="B242" s="12"/>
      <x:c r="C242" s="12"/>
      <x:c r="D242" s="18"/>
      <x:c r="E242" s="12"/>
      <x:c r="F242" s="12"/>
      <x:c r="G242" s="12"/>
      <x:c r="H242" s="12"/>
      <x:c r="I242" s="12"/>
      <x:c r="J242" s="12"/>
      <x:c r="K242" s="12"/>
      <x:c r="L242" s="12"/>
      <x:c r="M242" s="12"/>
    </x:row>
    <x:row r="243">
      <x:c r="A243" s="12"/>
      <x:c r="B243" s="12"/>
      <x:c r="C243" s="12"/>
      <x:c r="D243" s="18"/>
      <x:c r="E243" s="12"/>
      <x:c r="F243" s="12"/>
      <x:c r="G243" s="12"/>
      <x:c r="H243" s="12"/>
      <x:c r="I243" s="12"/>
      <x:c r="J243" s="12"/>
      <x:c r="K243" s="12"/>
      <x:c r="L243" s="12"/>
      <x:c r="M243" s="12"/>
    </x:row>
    <x:row r="244">
      <x:c r="A244" s="12"/>
      <x:c r="B244" s="12"/>
      <x:c r="C244" s="12"/>
      <x:c r="D244" s="18"/>
      <x:c r="E244" s="12"/>
      <x:c r="F244" s="12"/>
      <x:c r="G244" s="12"/>
      <x:c r="H244" s="12"/>
      <x:c r="I244" s="12"/>
      <x:c r="J244" s="12"/>
      <x:c r="K244" s="12"/>
      <x:c r="L244" s="12"/>
      <x:c r="M244" s="12"/>
    </x:row>
    <x:row r="245">
      <x:c r="A245" s="12"/>
      <x:c r="B245" s="12"/>
      <x:c r="C245" s="12"/>
      <x:c r="D245" s="18"/>
      <x:c r="E245" s="12"/>
      <x:c r="F245" s="12"/>
      <x:c r="G245" s="12"/>
      <x:c r="H245" s="12"/>
      <x:c r="I245" s="12"/>
      <x:c r="J245" s="12"/>
      <x:c r="K245" s="12"/>
      <x:c r="L245" s="12"/>
      <x:c r="M245" s="12"/>
    </x:row>
    <x:row r="246">
      <x:c r="A246" s="12"/>
      <x:c r="B246" s="12"/>
      <x:c r="C246" s="12"/>
      <x:c r="D246" s="18"/>
      <x:c r="E246" s="12"/>
      <x:c r="F246" s="12"/>
      <x:c r="G246" s="12"/>
      <x:c r="H246" s="12"/>
      <x:c r="I246" s="12"/>
      <x:c r="J246" s="12"/>
      <x:c r="K246" s="12"/>
      <x:c r="L246" s="12"/>
      <x:c r="M246" s="12"/>
    </x:row>
    <x:row r="247">
      <x:c r="A247" s="12"/>
      <x:c r="B247" s="12"/>
      <x:c r="C247" s="12"/>
      <x:c r="D247" s="18"/>
      <x:c r="E247" s="12"/>
      <x:c r="F247" s="12"/>
      <x:c r="G247" s="12"/>
      <x:c r="H247" s="12"/>
      <x:c r="I247" s="12"/>
      <x:c r="J247" s="12"/>
      <x:c r="K247" s="12"/>
      <x:c r="L247" s="12"/>
      <x:c r="M247" s="12"/>
    </x:row>
    <x:row r="248">
      <x:c r="A248" s="12"/>
      <x:c r="B248" s="12"/>
      <x:c r="C248" s="12"/>
      <x:c r="D248" s="18"/>
      <x:c r="E248" s="12"/>
      <x:c r="F248" s="12"/>
      <x:c r="G248" s="12"/>
      <x:c r="H248" s="12"/>
      <x:c r="I248" s="12"/>
      <x:c r="J248" s="12"/>
      <x:c r="K248" s="12"/>
      <x:c r="L248" s="12"/>
      <x:c r="M248" s="12"/>
    </x:row>
    <x:row r="249">
      <x:c r="A249" s="12"/>
      <x:c r="B249" s="12"/>
      <x:c r="C249" s="12"/>
      <x:c r="D249" s="18"/>
      <x:c r="E249" s="12"/>
      <x:c r="F249" s="12"/>
      <x:c r="G249" s="12"/>
      <x:c r="H249" s="12"/>
      <x:c r="I249" s="12"/>
      <x:c r="J249" s="12"/>
      <x:c r="K249" s="12"/>
      <x:c r="L249" s="12"/>
      <x:c r="M249" s="12"/>
    </x:row>
    <x:row r="250">
      <x:c r="A250" s="12"/>
      <x:c r="B250" s="12"/>
      <x:c r="C250" s="12"/>
      <x:c r="D250" s="18"/>
      <x:c r="E250" s="12"/>
      <x:c r="F250" s="12"/>
      <x:c r="G250" s="12"/>
      <x:c r="H250" s="12"/>
      <x:c r="I250" s="12"/>
      <x:c r="J250" s="12"/>
      <x:c r="K250" s="12"/>
      <x:c r="L250" s="12"/>
      <x:c r="M250" s="12"/>
    </x:row>
    <x:row r="251">
      <x:c r="A251" s="12"/>
      <x:c r="B251" s="12"/>
      <x:c r="C251" s="12"/>
      <x:c r="D251" s="18"/>
      <x:c r="E251" s="12"/>
      <x:c r="F251" s="12"/>
      <x:c r="G251" s="12"/>
      <x:c r="H251" s="12"/>
      <x:c r="I251" s="12"/>
      <x:c r="J251" s="12"/>
      <x:c r="K251" s="12"/>
      <x:c r="L251" s="12"/>
      <x:c r="M251" s="12"/>
    </x:row>
    <x:row r="252">
      <x:c r="A252" s="12"/>
      <x:c r="B252" s="12"/>
      <x:c r="C252" s="12"/>
      <x:c r="D252" s="18"/>
      <x:c r="E252" s="12"/>
      <x:c r="F252" s="12"/>
      <x:c r="G252" s="12"/>
      <x:c r="H252" s="12"/>
      <x:c r="I252" s="12"/>
      <x:c r="J252" s="12"/>
      <x:c r="K252" s="12"/>
      <x:c r="L252" s="12"/>
      <x:c r="M252" s="12"/>
    </x:row>
    <x:row r="253">
      <x:c r="A253" s="12"/>
      <x:c r="B253" s="12"/>
      <x:c r="C253" s="12"/>
      <x:c r="D253" s="18"/>
      <x:c r="E253" s="12"/>
      <x:c r="F253" s="12"/>
      <x:c r="G253" s="12"/>
      <x:c r="H253" s="12"/>
      <x:c r="I253" s="12"/>
      <x:c r="J253" s="12"/>
      <x:c r="K253" s="12"/>
      <x:c r="L253" s="12"/>
      <x:c r="M253" s="12"/>
    </x:row>
    <x:row r="254">
      <x:c r="A254" s="12"/>
      <x:c r="B254" s="12"/>
      <x:c r="C254" s="12"/>
      <x:c r="D254" s="18"/>
      <x:c r="E254" s="12"/>
      <x:c r="F254" s="12"/>
      <x:c r="G254" s="12"/>
      <x:c r="H254" s="12"/>
      <x:c r="I254" s="12"/>
      <x:c r="J254" s="12"/>
      <x:c r="K254" s="12"/>
      <x:c r="L254" s="12"/>
      <x:c r="M254" s="12"/>
    </x:row>
    <x:row r="255">
      <x:c r="A255" s="12"/>
      <x:c r="B255" s="12"/>
      <x:c r="C255" s="12"/>
      <x:c r="D255" s="18"/>
      <x:c r="E255" s="12"/>
      <x:c r="F255" s="12"/>
      <x:c r="G255" s="12"/>
      <x:c r="H255" s="12"/>
      <x:c r="I255" s="12"/>
      <x:c r="J255" s="12"/>
      <x:c r="K255" s="12"/>
      <x:c r="L255" s="12"/>
      <x:c r="M255" s="12"/>
    </x:row>
    <x:row r="256">
      <x:c r="A256" s="12"/>
      <x:c r="B256" s="12"/>
      <x:c r="C256" s="12"/>
      <x:c r="D256" s="18"/>
      <x:c r="E256" s="12"/>
      <x:c r="F256" s="12"/>
      <x:c r="G256" s="12"/>
      <x:c r="H256" s="12"/>
      <x:c r="I256" s="12"/>
      <x:c r="J256" s="12"/>
      <x:c r="K256" s="12"/>
      <x:c r="L256" s="12"/>
      <x:c r="M256" s="12"/>
    </x:row>
    <x:row r="257">
      <x:c r="A257" s="12"/>
      <x:c r="B257" s="12"/>
      <x:c r="C257" s="12"/>
      <x:c r="D257" s="18"/>
      <x:c r="E257" s="12"/>
      <x:c r="F257" s="12"/>
      <x:c r="G257" s="12"/>
      <x:c r="H257" s="12"/>
      <x:c r="I257" s="12"/>
      <x:c r="J257" s="12"/>
      <x:c r="K257" s="12"/>
      <x:c r="L257" s="12"/>
      <x:c r="M257" s="12"/>
    </x:row>
    <x:row r="258">
      <x:c r="A258" s="12"/>
      <x:c r="B258" s="12"/>
      <x:c r="C258" s="12"/>
      <x:c r="D258" s="18"/>
      <x:c r="E258" s="12"/>
      <x:c r="F258" s="12"/>
      <x:c r="G258" s="12"/>
      <x:c r="H258" s="12"/>
      <x:c r="I258" s="12"/>
      <x:c r="J258" s="12"/>
      <x:c r="K258" s="12"/>
      <x:c r="L258" s="12"/>
      <x:c r="M258" s="12"/>
    </x:row>
    <x:row r="259">
      <x:c r="A259" s="12"/>
      <x:c r="B259" s="12"/>
      <x:c r="C259" s="12"/>
      <x:c r="D259" s="18"/>
      <x:c r="E259" s="12"/>
      <x:c r="F259" s="12"/>
      <x:c r="G259" s="12"/>
      <x:c r="H259" s="12"/>
      <x:c r="I259" s="12"/>
      <x:c r="J259" s="12"/>
      <x:c r="K259" s="12"/>
      <x:c r="L259" s="12"/>
      <x:c r="M259" s="12"/>
    </x:row>
    <x:row r="260">
      <x:c r="A260" s="12"/>
      <x:c r="B260" s="12"/>
      <x:c r="C260" s="12"/>
      <x:c r="D260" s="18"/>
      <x:c r="E260" s="12"/>
      <x:c r="F260" s="12"/>
      <x:c r="G260" s="12"/>
      <x:c r="H260" s="12"/>
      <x:c r="I260" s="12"/>
      <x:c r="J260" s="12"/>
      <x:c r="K260" s="12"/>
      <x:c r="L260" s="12"/>
      <x:c r="M260" s="12"/>
    </x:row>
    <x:row r="261">
      <x:c r="A261" s="12"/>
      <x:c r="B261" s="12"/>
      <x:c r="C261" s="12"/>
      <x:c r="D261" s="18"/>
      <x:c r="E261" s="12"/>
      <x:c r="F261" s="12"/>
      <x:c r="G261" s="12"/>
      <x:c r="H261" s="12"/>
      <x:c r="I261" s="12"/>
      <x:c r="J261" s="12"/>
      <x:c r="K261" s="12"/>
      <x:c r="L261" s="12"/>
      <x:c r="M261" s="12"/>
    </x:row>
    <x:row r="262">
      <x:c r="A262" s="12"/>
      <x:c r="B262" s="12"/>
      <x:c r="C262" s="12"/>
      <x:c r="D262" s="18"/>
      <x:c r="E262" s="12"/>
      <x:c r="F262" s="12"/>
      <x:c r="G262" s="12"/>
      <x:c r="H262" s="12"/>
      <x:c r="I262" s="12"/>
      <x:c r="J262" s="12"/>
      <x:c r="K262" s="12"/>
      <x:c r="L262" s="12"/>
      <x:c r="M262" s="12"/>
    </x:row>
    <x:row r="263">
      <x:c r="A263" s="12"/>
      <x:c r="B263" s="12"/>
      <x:c r="C263" s="12"/>
      <x:c r="D263" s="18"/>
      <x:c r="E263" s="12"/>
      <x:c r="F263" s="12"/>
      <x:c r="G263" s="12"/>
      <x:c r="H263" s="12"/>
      <x:c r="I263" s="12"/>
      <x:c r="J263" s="12"/>
      <x:c r="K263" s="12"/>
      <x:c r="L263" s="12"/>
      <x:c r="M263" s="12"/>
    </x:row>
    <x:row r="264">
      <x:c r="A264" s="12"/>
      <x:c r="B264" s="12"/>
      <x:c r="C264" s="12"/>
      <x:c r="D264" s="18"/>
      <x:c r="E264" s="12"/>
      <x:c r="F264" s="12"/>
      <x:c r="G264" s="12"/>
      <x:c r="H264" s="12"/>
      <x:c r="I264" s="12"/>
      <x:c r="J264" s="12"/>
      <x:c r="K264" s="12"/>
      <x:c r="L264" s="12"/>
      <x:c r="M264" s="12"/>
    </x:row>
    <x:row r="265">
      <x:c r="A265" s="12"/>
      <x:c r="B265" s="12"/>
      <x:c r="C265" s="12"/>
      <x:c r="D265" s="18"/>
      <x:c r="E265" s="12"/>
      <x:c r="F265" s="12"/>
      <x:c r="G265" s="12"/>
      <x:c r="H265" s="12"/>
      <x:c r="I265" s="12"/>
      <x:c r="J265" s="12"/>
      <x:c r="K265" s="12"/>
      <x:c r="L265" s="12"/>
      <x:c r="M265" s="12"/>
    </x:row>
    <x:row r="266">
      <x:c r="A266" s="12"/>
      <x:c r="B266" s="12"/>
      <x:c r="C266" s="12"/>
      <x:c r="D266" s="18"/>
      <x:c r="E266" s="12"/>
      <x:c r="F266" s="12"/>
      <x:c r="G266" s="12"/>
      <x:c r="H266" s="12"/>
      <x:c r="I266" s="12"/>
      <x:c r="J266" s="12"/>
      <x:c r="K266" s="12"/>
      <x:c r="L266" s="12"/>
      <x:c r="M266" s="12"/>
    </x:row>
    <x:row r="267">
      <x:c r="A267" s="12"/>
      <x:c r="B267" s="12"/>
      <x:c r="C267" s="12"/>
      <x:c r="D267" s="18"/>
      <x:c r="E267" s="12"/>
      <x:c r="F267" s="12"/>
      <x:c r="G267" s="12"/>
      <x:c r="H267" s="12"/>
      <x:c r="I267" s="12"/>
      <x:c r="J267" s="12"/>
      <x:c r="K267" s="12"/>
      <x:c r="L267" s="12"/>
      <x:c r="M267" s="12"/>
    </x:row>
    <x:row r="268">
      <x:c r="A268" s="12"/>
      <x:c r="B268" s="12"/>
      <x:c r="C268" s="12"/>
      <x:c r="D268" s="18"/>
      <x:c r="E268" s="12"/>
      <x:c r="F268" s="12"/>
      <x:c r="G268" s="12"/>
      <x:c r="H268" s="12"/>
      <x:c r="I268" s="12"/>
      <x:c r="J268" s="12"/>
      <x:c r="K268" s="12"/>
      <x:c r="L268" s="12"/>
      <x:c r="M268" s="12"/>
    </x:row>
    <x:row r="269">
      <x:c r="A269" s="12"/>
      <x:c r="B269" s="12"/>
      <x:c r="C269" s="12"/>
      <x:c r="D269" s="18"/>
      <x:c r="E269" s="12"/>
      <x:c r="F269" s="12"/>
      <x:c r="G269" s="12"/>
      <x:c r="H269" s="12"/>
      <x:c r="I269" s="12"/>
      <x:c r="J269" s="12"/>
      <x:c r="K269" s="12"/>
      <x:c r="L269" s="12"/>
      <x:c r="M269" s="12"/>
    </x:row>
    <x:row r="270">
      <x:c r="A270" s="12"/>
      <x:c r="B270" s="12"/>
      <x:c r="C270" s="12"/>
      <x:c r="D270" s="18"/>
      <x:c r="E270" s="12"/>
      <x:c r="F270" s="12"/>
      <x:c r="G270" s="12"/>
      <x:c r="H270" s="12"/>
      <x:c r="I270" s="12"/>
      <x:c r="J270" s="12"/>
      <x:c r="K270" s="12"/>
      <x:c r="L270" s="12"/>
      <x:c r="M270" s="12"/>
    </x:row>
    <x:row r="271">
      <x:c r="A271" s="12"/>
      <x:c r="B271" s="12"/>
      <x:c r="C271" s="12"/>
      <x:c r="D271" s="18"/>
      <x:c r="E271" s="12"/>
      <x:c r="F271" s="12"/>
      <x:c r="G271" s="12"/>
      <x:c r="H271" s="12"/>
      <x:c r="I271" s="12"/>
      <x:c r="J271" s="12"/>
      <x:c r="K271" s="12"/>
      <x:c r="L271" s="12"/>
      <x:c r="M271" s="12"/>
    </x:row>
    <x:row r="272">
      <x:c r="A272" s="12"/>
      <x:c r="B272" s="12"/>
      <x:c r="C272" s="12"/>
      <x:c r="D272" s="18"/>
      <x:c r="E272" s="12"/>
      <x:c r="F272" s="12"/>
      <x:c r="G272" s="12"/>
      <x:c r="H272" s="12"/>
      <x:c r="I272" s="12"/>
      <x:c r="J272" s="12"/>
      <x:c r="K272" s="12"/>
      <x:c r="L272" s="12"/>
      <x:c r="M272" s="12"/>
    </x:row>
    <x:row r="273">
      <x:c r="A273" s="12"/>
      <x:c r="B273" s="12"/>
      <x:c r="C273" s="12"/>
      <x:c r="D273" s="18"/>
      <x:c r="E273" s="12"/>
      <x:c r="F273" s="12"/>
      <x:c r="G273" s="12"/>
      <x:c r="H273" s="12"/>
      <x:c r="I273" s="12"/>
      <x:c r="J273" s="12"/>
      <x:c r="K273" s="12"/>
      <x:c r="L273" s="12"/>
      <x:c r="M273" s="12"/>
    </x:row>
    <x:row r="274">
      <x:c r="A274" s="12"/>
      <x:c r="B274" s="12"/>
      <x:c r="C274" s="12"/>
      <x:c r="D274" s="18"/>
      <x:c r="E274" s="12"/>
      <x:c r="F274" s="12"/>
      <x:c r="G274" s="12"/>
      <x:c r="H274" s="12"/>
      <x:c r="I274" s="12"/>
      <x:c r="J274" s="12"/>
      <x:c r="K274" s="12"/>
      <x:c r="L274" s="12"/>
      <x:c r="M274" s="12"/>
    </x:row>
    <x:row r="275">
      <x:c r="A275" s="12"/>
      <x:c r="B275" s="12"/>
      <x:c r="C275" s="12"/>
      <x:c r="D275" s="18"/>
      <x:c r="E275" s="12"/>
      <x:c r="F275" s="12"/>
      <x:c r="G275" s="12"/>
      <x:c r="H275" s="12"/>
      <x:c r="I275" s="12"/>
      <x:c r="J275" s="12"/>
      <x:c r="K275" s="12"/>
      <x:c r="L275" s="12"/>
      <x:c r="M275" s="12"/>
    </x:row>
    <x:row r="276">
      <x:c r="A276" s="12"/>
      <x:c r="B276" s="12"/>
      <x:c r="C276" s="12"/>
      <x:c r="D276" s="18"/>
      <x:c r="E276" s="12"/>
      <x:c r="F276" s="12"/>
      <x:c r="G276" s="12"/>
      <x:c r="H276" s="12"/>
      <x:c r="I276" s="12"/>
      <x:c r="J276" s="12"/>
      <x:c r="K276" s="12"/>
      <x:c r="L276" s="12"/>
      <x:c r="M276" s="12"/>
    </x:row>
    <x:row r="277">
      <x:c r="A277" s="12"/>
      <x:c r="B277" s="12"/>
      <x:c r="C277" s="12"/>
      <x:c r="D277" s="18"/>
      <x:c r="E277" s="12"/>
      <x:c r="F277" s="12"/>
      <x:c r="G277" s="12"/>
      <x:c r="H277" s="12"/>
      <x:c r="I277" s="12"/>
      <x:c r="J277" s="12"/>
      <x:c r="K277" s="12"/>
      <x:c r="L277" s="12"/>
      <x:c r="M277" s="12"/>
    </x:row>
    <x:row r="278">
      <x:c r="A278" s="12"/>
      <x:c r="B278" s="12"/>
      <x:c r="C278" s="12"/>
      <x:c r="D278" s="18"/>
      <x:c r="E278" s="12"/>
      <x:c r="F278" s="12"/>
      <x:c r="G278" s="12"/>
      <x:c r="H278" s="12"/>
      <x:c r="I278" s="12"/>
      <x:c r="J278" s="12"/>
      <x:c r="K278" s="12"/>
      <x:c r="L278" s="12"/>
      <x:c r="M278" s="12"/>
    </x:row>
    <x:row r="279">
      <x:c r="A279" s="12"/>
      <x:c r="B279" s="12"/>
      <x:c r="C279" s="12"/>
      <x:c r="D279" s="18"/>
      <x:c r="E279" s="12"/>
      <x:c r="F279" s="12"/>
      <x:c r="G279" s="12"/>
      <x:c r="H279" s="12"/>
      <x:c r="I279" s="12"/>
      <x:c r="J279" s="12"/>
      <x:c r="K279" s="12"/>
      <x:c r="L279" s="12"/>
      <x:c r="M279" s="12"/>
    </x:row>
    <x:row r="280">
      <x:c r="A280" s="12"/>
      <x:c r="B280" s="12"/>
      <x:c r="C280" s="12"/>
      <x:c r="D280" s="18"/>
      <x:c r="E280" s="12"/>
      <x:c r="F280" s="12"/>
      <x:c r="G280" s="12"/>
      <x:c r="H280" s="12"/>
      <x:c r="I280" s="12"/>
      <x:c r="J280" s="12"/>
      <x:c r="K280" s="12"/>
      <x:c r="L280" s="12"/>
      <x:c r="M280" s="12"/>
    </x:row>
    <x:row r="281">
      <x:c r="A281" s="12"/>
      <x:c r="B281" s="12"/>
      <x:c r="C281" s="12"/>
      <x:c r="D281" s="18"/>
      <x:c r="E281" s="12"/>
      <x:c r="F281" s="12"/>
      <x:c r="G281" s="12"/>
      <x:c r="H281" s="12"/>
      <x:c r="I281" s="12"/>
      <x:c r="J281" s="12"/>
      <x:c r="K281" s="12"/>
      <x:c r="L281" s="12"/>
      <x:c r="M281" s="12"/>
    </x:row>
    <x:row r="282">
      <x:c r="A282" s="12"/>
      <x:c r="B282" s="12"/>
      <x:c r="C282" s="12"/>
      <x:c r="D282" s="18"/>
      <x:c r="E282" s="12"/>
      <x:c r="F282" s="12"/>
      <x:c r="G282" s="12"/>
      <x:c r="H282" s="12"/>
      <x:c r="I282" s="12"/>
      <x:c r="J282" s="12"/>
      <x:c r="K282" s="12"/>
      <x:c r="L282" s="12"/>
      <x:c r="M282" s="12"/>
    </x:row>
    <x:row r="283">
      <x:c r="A283" s="12"/>
      <x:c r="B283" s="12"/>
      <x:c r="C283" s="12"/>
      <x:c r="D283" s="18"/>
      <x:c r="E283" s="12"/>
      <x:c r="F283" s="12"/>
      <x:c r="G283" s="12"/>
      <x:c r="H283" s="12"/>
      <x:c r="I283" s="12"/>
      <x:c r="J283" s="12"/>
      <x:c r="K283" s="12"/>
      <x:c r="L283" s="12"/>
      <x:c r="M283" s="12"/>
    </x:row>
    <x:row r="284">
      <x:c r="A284" s="12"/>
      <x:c r="B284" s="12"/>
      <x:c r="C284" s="12"/>
      <x:c r="D284" s="18"/>
      <x:c r="E284" s="12"/>
      <x:c r="F284" s="12"/>
      <x:c r="G284" s="12"/>
      <x:c r="H284" s="12"/>
      <x:c r="I284" s="12"/>
      <x:c r="J284" s="12"/>
      <x:c r="K284" s="12"/>
      <x:c r="L284" s="12"/>
      <x:c r="M284" s="12"/>
    </x:row>
    <x:row r="285">
      <x:c r="A285" s="12"/>
      <x:c r="B285" s="12"/>
      <x:c r="C285" s="12"/>
      <x:c r="D285" s="18"/>
      <x:c r="E285" s="12"/>
      <x:c r="F285" s="12"/>
      <x:c r="G285" s="12"/>
      <x:c r="H285" s="12"/>
      <x:c r="I285" s="12"/>
      <x:c r="J285" s="12"/>
      <x:c r="K285" s="12"/>
      <x:c r="L285" s="12"/>
      <x:c r="M285" s="12"/>
    </x:row>
    <x:row r="286">
      <x:c r="A286" s="12"/>
      <x:c r="B286" s="12"/>
      <x:c r="C286" s="12"/>
      <x:c r="D286" s="18"/>
      <x:c r="E286" s="12"/>
      <x:c r="F286" s="12"/>
      <x:c r="G286" s="12"/>
      <x:c r="H286" s="12"/>
      <x:c r="I286" s="12"/>
      <x:c r="J286" s="12"/>
      <x:c r="K286" s="12"/>
      <x:c r="L286" s="12"/>
      <x:c r="M286" s="12"/>
    </x:row>
    <x:row r="287">
      <x:c r="A287" s="12"/>
      <x:c r="B287" s="12"/>
      <x:c r="C287" s="12"/>
      <x:c r="D287" s="18"/>
      <x:c r="E287" s="12"/>
      <x:c r="F287" s="12"/>
      <x:c r="G287" s="12"/>
      <x:c r="H287" s="12"/>
      <x:c r="I287" s="12"/>
      <x:c r="J287" s="12"/>
      <x:c r="K287" s="12"/>
      <x:c r="L287" s="12"/>
      <x:c r="M287" s="12"/>
    </x:row>
    <x:row r="288">
      <x:c r="A288" s="12"/>
      <x:c r="B288" s="12"/>
      <x:c r="C288" s="12"/>
      <x:c r="D288" s="18"/>
      <x:c r="E288" s="12"/>
      <x:c r="F288" s="12"/>
      <x:c r="G288" s="12"/>
      <x:c r="H288" s="12"/>
      <x:c r="I288" s="12"/>
      <x:c r="J288" s="12"/>
      <x:c r="K288" s="12"/>
      <x:c r="L288" s="12"/>
      <x:c r="M288" s="12"/>
    </x:row>
    <x:row r="289">
      <x:c r="A289" s="12"/>
      <x:c r="B289" s="12"/>
      <x:c r="C289" s="12"/>
      <x:c r="D289" s="18"/>
      <x:c r="E289" s="12"/>
      <x:c r="F289" s="12"/>
      <x:c r="G289" s="12"/>
      <x:c r="H289" s="12"/>
      <x:c r="I289" s="12"/>
      <x:c r="J289" s="12"/>
      <x:c r="K289" s="12"/>
      <x:c r="L289" s="12"/>
      <x:c r="M289" s="12"/>
    </x:row>
    <x:row r="290">
      <x:c r="A290" s="12"/>
      <x:c r="B290" s="12"/>
      <x:c r="C290" s="12"/>
      <x:c r="D290" s="18"/>
      <x:c r="E290" s="12"/>
      <x:c r="F290" s="12"/>
      <x:c r="G290" s="12"/>
      <x:c r="H290" s="12"/>
      <x:c r="I290" s="12"/>
      <x:c r="J290" s="12"/>
      <x:c r="K290" s="12"/>
      <x:c r="L290" s="12"/>
      <x:c r="M290" s="12"/>
    </x:row>
    <x:row r="291">
      <x:c r="A291" s="12"/>
      <x:c r="B291" s="12"/>
      <x:c r="C291" s="12"/>
      <x:c r="D291" s="18"/>
      <x:c r="E291" s="12"/>
      <x:c r="F291" s="12"/>
      <x:c r="G291" s="12"/>
      <x:c r="H291" s="12"/>
      <x:c r="I291" s="12"/>
      <x:c r="J291" s="12"/>
      <x:c r="K291" s="12"/>
      <x:c r="L291" s="12"/>
      <x:c r="M291" s="12"/>
    </x:row>
    <x:row r="292">
      <x:c r="A292" s="12"/>
      <x:c r="B292" s="12"/>
      <x:c r="C292" s="12"/>
      <x:c r="D292" s="18"/>
      <x:c r="E292" s="12"/>
      <x:c r="F292" s="12"/>
      <x:c r="G292" s="12"/>
      <x:c r="H292" s="12"/>
      <x:c r="I292" s="12"/>
      <x:c r="J292" s="12"/>
      <x:c r="K292" s="12"/>
      <x:c r="L292" s="12"/>
      <x:c r="M292" s="12"/>
    </x:row>
    <x:row r="293">
      <x:c r="A293" s="12"/>
      <x:c r="B293" s="12"/>
      <x:c r="C293" s="12"/>
      <x:c r="D293" s="18"/>
      <x:c r="E293" s="12"/>
      <x:c r="F293" s="12"/>
      <x:c r="G293" s="12"/>
      <x:c r="H293" s="12"/>
      <x:c r="I293" s="12"/>
      <x:c r="J293" s="12"/>
      <x:c r="K293" s="12"/>
      <x:c r="L293" s="12"/>
      <x:c r="M293" s="12"/>
    </x:row>
    <x:row r="294">
      <x:c r="A294" s="12"/>
      <x:c r="B294" s="12"/>
      <x:c r="C294" s="12"/>
      <x:c r="D294" s="18"/>
      <x:c r="E294" s="12"/>
      <x:c r="F294" s="12"/>
      <x:c r="G294" s="12"/>
      <x:c r="H294" s="12"/>
      <x:c r="I294" s="12"/>
      <x:c r="J294" s="12"/>
      <x:c r="K294" s="12"/>
      <x:c r="L294" s="12"/>
      <x:c r="M294" s="12"/>
    </x:row>
    <x:row r="295">
      <x:c r="A295" s="12"/>
      <x:c r="B295" s="12"/>
      <x:c r="C295" s="12"/>
      <x:c r="D295" s="18"/>
      <x:c r="E295" s="12"/>
      <x:c r="F295" s="12"/>
      <x:c r="G295" s="12"/>
      <x:c r="H295" s="12"/>
      <x:c r="I295" s="12"/>
      <x:c r="J295" s="12"/>
      <x:c r="K295" s="12"/>
      <x:c r="L295" s="12"/>
      <x:c r="M295" s="12"/>
    </x:row>
    <x:row r="296">
      <x:c r="A296" s="12"/>
      <x:c r="B296" s="12"/>
      <x:c r="C296" s="12"/>
      <x:c r="D296" s="18"/>
      <x:c r="E296" s="12"/>
      <x:c r="F296" s="12"/>
      <x:c r="G296" s="12"/>
      <x:c r="H296" s="12"/>
      <x:c r="I296" s="12"/>
      <x:c r="J296" s="12"/>
      <x:c r="K296" s="12"/>
      <x:c r="L296" s="12"/>
      <x:c r="M296" s="12"/>
    </x:row>
    <x:row r="297">
      <x:c r="A297" s="12"/>
      <x:c r="B297" s="12"/>
      <x:c r="C297" s="12"/>
      <x:c r="D297" s="18"/>
      <x:c r="E297" s="12"/>
      <x:c r="F297" s="12"/>
      <x:c r="G297" s="12"/>
      <x:c r="H297" s="12"/>
      <x:c r="I297" s="12"/>
      <x:c r="J297" s="12"/>
      <x:c r="K297" s="12"/>
      <x:c r="L297" s="12"/>
      <x:c r="M297" s="12"/>
    </x:row>
    <x:row r="298">
      <x:c r="A298" s="12"/>
      <x:c r="B298" s="12"/>
      <x:c r="C298" s="12"/>
      <x:c r="D298" s="18"/>
      <x:c r="E298" s="12"/>
      <x:c r="F298" s="12"/>
      <x:c r="G298" s="12"/>
      <x:c r="H298" s="12"/>
      <x:c r="I298" s="12"/>
      <x:c r="J298" s="12"/>
      <x:c r="K298" s="12"/>
      <x:c r="L298" s="12"/>
      <x:c r="M298" s="12"/>
    </x:row>
    <x:row r="299">
      <x:c r="A299" s="12"/>
      <x:c r="B299" s="12"/>
      <x:c r="C299" s="12"/>
      <x:c r="D299" s="18"/>
      <x:c r="E299" s="12"/>
      <x:c r="F299" s="12"/>
      <x:c r="G299" s="12"/>
      <x:c r="H299" s="12"/>
      <x:c r="I299" s="12"/>
      <x:c r="J299" s="12"/>
      <x:c r="K299" s="12"/>
      <x:c r="L299" s="12"/>
      <x:c r="M299" s="12"/>
    </x:row>
    <x:row r="300">
      <x:c r="A300" s="12"/>
      <x:c r="B300" s="12"/>
      <x:c r="C300" s="12"/>
      <x:c r="D300" s="18"/>
      <x:c r="E300" s="12"/>
      <x:c r="F300" s="12"/>
      <x:c r="G300" s="12"/>
      <x:c r="H300" s="12"/>
      <x:c r="I300" s="12"/>
      <x:c r="J300" s="12"/>
      <x:c r="K300" s="12"/>
      <x:c r="L300" s="12"/>
      <x:c r="M300" s="12"/>
    </x:row>
  </x:sheetData>
  <x:dataValidations count="2">
    <x:dataValidation type="list" sqref="E2:E300">
      <x:formula1>"Mensual,Bimestral,Trimestral,Semestral,Anual"</x:formula1>
    </x:dataValidation>
    <x:dataValidation type="list" sqref="H2:H300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038ea10c49433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22" hidden="0" customWidth="1"/>
    <x:col min="4" max="4" width="18" hidden="0" customWidth="1"/>
    <x:col min="5" max="5" width="18" hidden="0" customWidth="1"/>
    <x:col min="6" max="6" width="14" hidden="0" customWidth="1"/>
    <x:col min="7" max="7" width="22" hidden="0" customWidth="1"/>
    <x:col min="8" max="8" width="10" hidden="0" customWidth="1"/>
    <x:col min="9" max="9" width="18" hidden="0" customWidth="1"/>
    <x:col min="10" max="10" width="18" hidden="0" customWidth="1"/>
    <x:col min="11" max="11" width="18" hidden="0" customWidth="1"/>
    <x:col min="12" max="12" width="50" hidden="0" customWidth="1"/>
    <x:col min="13" max="13" width="18" hidden="0" customWidth="1"/>
    <x:col min="14" max="14" width="18" hidden="0" customWidth="1"/>
  </x:cols>
  <x:sheetData>
    <x:row r="1">
      <x:c r="A1" s="6" t="str">
        <x:v>pagoId</x:v>
      </x:c>
      <x:c r="B1" s="6" t="str">
        <x:v>concepto</x:v>
      </x:c>
      <x:c r="C1" s="6" t="str">
        <x:v>categoria</x:v>
      </x:c>
      <x:c r="D1" s="6" t="str">
        <x:v>importeObjetivo</x:v>
      </x:c>
      <x:c r="E1" s="6" t="str">
        <x:v>fechaVencimiento</x:v>
      </x:c>
      <x:c r="F1" s="6" t="str">
        <x:v>frecuencia</x:v>
      </x:c>
      <x:c r="G1" s="6" t="str">
        <x:v>cuentaReserva</x:v>
      </x:c>
      <x:c r="H1" s="6" t="str">
        <x:v>activo</x:v>
      </x:c>
      <x:c r="I1" s="6" t="str">
        <x:v>saldoReservado</x:v>
      </x:c>
      <x:c r="J1" s="6" t="str">
        <x:v>mesesRestantes</x:v>
      </x:c>
      <x:c r="K1" s="6" t="str">
        <x:v>aporteMensual</x:v>
      </x:c>
      <x:c r="L1" s="6" t="str">
        <x:v>notas</x:v>
      </x:c>
      <x:c r="M1" s="6" t="str">
        <x:v>createdAt</x:v>
      </x:c>
      <x:c r="N1" s="6" t="str">
        <x:v>updatedAt</x:v>
      </x:c>
    </x:row>
    <x:row r="2">
      <x:c r="A2" s="12" t="str">
        <x:v>pf-seguro-coche</x:v>
      </x:c>
      <x:c r="B2" s="12" t="str">
        <x:v>Ejemplo: seguro coche</x:v>
      </x:c>
      <x:c r="C2" s="12" t="str">
        <x:v>Seguros</x:v>
      </x:c>
      <x:c r="D2" s="18" t="n">
        <x:v>0</x:v>
      </x:c>
      <x:c r="E2" s="12" t="str"/>
      <x:c r="F2" s="12" t="str">
        <x:v>Anual</x:v>
      </x:c>
      <x:c r="G2" s="12" t="str">
        <x:v>Reserva virtual</x:v>
      </x:c>
      <x:c r="H2" s="12" t="str">
        <x:v>No</x:v>
      </x:c>
      <x:c r="I2" s="18" t="n">
        <x:v>0</x:v>
      </x:c>
      <x:c r="J2" s="18" t="str">
        <x:f>IFERROR(IF(OR(E2="",H2&lt;&gt;"Sí"),"",MAX(1,DATEDIF(TODAY(),E2,"M")+1)),"")</x:f>
      </x:c>
      <x:c r="K2" s="18" t="str">
        <x:f>IFERROR(IF(OR(H2&lt;&gt;"Sí",D2&lt;=0,J2=""),"",MAX(0,D2-I2)/J2),"")</x:f>
      </x:c>
      <x:c r="L2" s="12" t="str">
        <x:v>Reparte pagos grandes para que no rompan el mes.</x:v>
      </x:c>
      <x:c r="M2" s="12" t="str"/>
      <x:c r="N2" s="12" t="str"/>
    </x:row>
    <x:row r="3">
      <x:c r="A3" s="12"/>
      <x:c r="B3" s="12"/>
      <x:c r="C3" s="12"/>
      <x:c r="D3" s="18"/>
      <x:c r="E3" s="12"/>
      <x:c r="F3" s="12"/>
      <x:c r="G3" s="12"/>
      <x:c r="H3" s="12"/>
      <x:c r="I3" s="18"/>
      <x:c r="J3" s="18" t="str">
        <x:f>IFERROR(IF(OR(E3="",H3&lt;&gt;"Sí"),"",MAX(1,DATEDIF(TODAY(),E3,"M")+1)),"")</x:f>
      </x:c>
      <x:c r="K3" s="18" t="str">
        <x:f>IFERROR(IF(OR(H3&lt;&gt;"Sí",D3&lt;=0,J3=""),"",MAX(0,D3-I3)/J3),"")</x:f>
      </x:c>
      <x:c r="L3" s="12"/>
      <x:c r="M3" s="12"/>
      <x:c r="N3" s="12"/>
    </x:row>
    <x:row r="4">
      <x:c r="A4" s="12"/>
      <x:c r="B4" s="12"/>
      <x:c r="C4" s="12"/>
      <x:c r="D4" s="18"/>
      <x:c r="E4" s="12"/>
      <x:c r="F4" s="12"/>
      <x:c r="G4" s="12"/>
      <x:c r="H4" s="12"/>
      <x:c r="I4" s="18"/>
      <x:c r="J4" s="18" t="str">
        <x:f>IFERROR(IF(OR(E4="",H4&lt;&gt;"Sí"),"",MAX(1,DATEDIF(TODAY(),E4,"M")+1)),"")</x:f>
      </x:c>
      <x:c r="K4" s="18" t="str">
        <x:f>IFERROR(IF(OR(H4&lt;&gt;"Sí",D4&lt;=0,J4=""),"",MAX(0,D4-I4)/J4),"")</x:f>
      </x:c>
      <x:c r="L4" s="12"/>
      <x:c r="M4" s="12"/>
      <x:c r="N4" s="12"/>
    </x:row>
    <x:row r="5">
      <x:c r="A5" s="12"/>
      <x:c r="B5" s="12"/>
      <x:c r="C5" s="12"/>
      <x:c r="D5" s="18"/>
      <x:c r="E5" s="12"/>
      <x:c r="F5" s="12"/>
      <x:c r="G5" s="12"/>
      <x:c r="H5" s="12"/>
      <x:c r="I5" s="18"/>
      <x:c r="J5" s="18" t="str">
        <x:f>IFERROR(IF(OR(E5="",H5&lt;&gt;"Sí"),"",MAX(1,DATEDIF(TODAY(),E5,"M")+1)),"")</x:f>
      </x:c>
      <x:c r="K5" s="18" t="str">
        <x:f>IFERROR(IF(OR(H5&lt;&gt;"Sí",D5&lt;=0,J5=""),"",MAX(0,D5-I5)/J5),"")</x:f>
      </x:c>
      <x:c r="L5" s="12"/>
      <x:c r="M5" s="12"/>
      <x:c r="N5" s="12"/>
    </x:row>
    <x:row r="6">
      <x:c r="A6" s="12"/>
      <x:c r="B6" s="12"/>
      <x:c r="C6" s="12"/>
      <x:c r="D6" s="18"/>
      <x:c r="E6" s="12"/>
      <x:c r="F6" s="12"/>
      <x:c r="G6" s="12"/>
      <x:c r="H6" s="12"/>
      <x:c r="I6" s="18"/>
      <x:c r="J6" s="18" t="str">
        <x:f>IFERROR(IF(OR(E6="",H6&lt;&gt;"Sí"),"",MAX(1,DATEDIF(TODAY(),E6,"M")+1)),"")</x:f>
      </x:c>
      <x:c r="K6" s="18" t="str">
        <x:f>IFERROR(IF(OR(H6&lt;&gt;"Sí",D6&lt;=0,J6=""),"",MAX(0,D6-I6)/J6),"")</x:f>
      </x:c>
      <x:c r="L6" s="12"/>
      <x:c r="M6" s="12"/>
      <x:c r="N6" s="12"/>
    </x:row>
    <x:row r="7">
      <x:c r="A7" s="12"/>
      <x:c r="B7" s="12"/>
      <x:c r="C7" s="12"/>
      <x:c r="D7" s="18"/>
      <x:c r="E7" s="12"/>
      <x:c r="F7" s="12"/>
      <x:c r="G7" s="12"/>
      <x:c r="H7" s="12"/>
      <x:c r="I7" s="18"/>
      <x:c r="J7" s="18" t="str">
        <x:f>IFERROR(IF(OR(E7="",H7&lt;&gt;"Sí"),"",MAX(1,DATEDIF(TODAY(),E7,"M")+1)),"")</x:f>
      </x:c>
      <x:c r="K7" s="18" t="str">
        <x:f>IFERROR(IF(OR(H7&lt;&gt;"Sí",D7&lt;=0,J7=""),"",MAX(0,D7-I7)/J7),"")</x:f>
      </x:c>
      <x:c r="L7" s="12"/>
      <x:c r="M7" s="12"/>
      <x:c r="N7" s="12"/>
    </x:row>
    <x:row r="8">
      <x:c r="A8" s="12"/>
      <x:c r="B8" s="12"/>
      <x:c r="C8" s="12"/>
      <x:c r="D8" s="18"/>
      <x:c r="E8" s="12"/>
      <x:c r="F8" s="12"/>
      <x:c r="G8" s="12"/>
      <x:c r="H8" s="12"/>
      <x:c r="I8" s="18"/>
      <x:c r="J8" s="18" t="str">
        <x:f>IFERROR(IF(OR(E8="",H8&lt;&gt;"Sí"),"",MAX(1,DATEDIF(TODAY(),E8,"M")+1)),"")</x:f>
      </x:c>
      <x:c r="K8" s="18" t="str">
        <x:f>IFERROR(IF(OR(H8&lt;&gt;"Sí",D8&lt;=0,J8=""),"",MAX(0,D8-I8)/J8),"")</x:f>
      </x:c>
      <x:c r="L8" s="12"/>
      <x:c r="M8" s="12"/>
      <x:c r="N8" s="12"/>
    </x:row>
    <x:row r="9">
      <x:c r="A9" s="12"/>
      <x:c r="B9" s="12"/>
      <x:c r="C9" s="12"/>
      <x:c r="D9" s="18"/>
      <x:c r="E9" s="12"/>
      <x:c r="F9" s="12"/>
      <x:c r="G9" s="12"/>
      <x:c r="H9" s="12"/>
      <x:c r="I9" s="18"/>
      <x:c r="J9" s="18" t="str">
        <x:f>IFERROR(IF(OR(E9="",H9&lt;&gt;"Sí"),"",MAX(1,DATEDIF(TODAY(),E9,"M")+1)),"")</x:f>
      </x:c>
      <x:c r="K9" s="18" t="str">
        <x:f>IFERROR(IF(OR(H9&lt;&gt;"Sí",D9&lt;=0,J9=""),"",MAX(0,D9-I9)/J9),"")</x:f>
      </x:c>
      <x:c r="L9" s="12"/>
      <x:c r="M9" s="12"/>
      <x:c r="N9" s="12"/>
    </x:row>
    <x:row r="10">
      <x:c r="A10" s="12"/>
      <x:c r="B10" s="12"/>
      <x:c r="C10" s="12"/>
      <x:c r="D10" s="18"/>
      <x:c r="E10" s="12"/>
      <x:c r="F10" s="12"/>
      <x:c r="G10" s="12"/>
      <x:c r="H10" s="12"/>
      <x:c r="I10" s="18"/>
      <x:c r="J10" s="18" t="str">
        <x:f>IFERROR(IF(OR(E10="",H10&lt;&gt;"Sí"),"",MAX(1,DATEDIF(TODAY(),E10,"M")+1)),"")</x:f>
      </x:c>
      <x:c r="K10" s="18" t="str">
        <x:f>IFERROR(IF(OR(H10&lt;&gt;"Sí",D10&lt;=0,J10=""),"",MAX(0,D10-I10)/J10),"")</x:f>
      </x:c>
      <x:c r="L10" s="12"/>
      <x:c r="M10" s="12"/>
      <x:c r="N10" s="12"/>
    </x:row>
    <x:row r="11">
      <x:c r="A11" s="12"/>
      <x:c r="B11" s="12"/>
      <x:c r="C11" s="12"/>
      <x:c r="D11" s="18"/>
      <x:c r="E11" s="12"/>
      <x:c r="F11" s="12"/>
      <x:c r="G11" s="12"/>
      <x:c r="H11" s="12"/>
      <x:c r="I11" s="18"/>
      <x:c r="J11" s="18" t="str">
        <x:f>IFERROR(IF(OR(E11="",H11&lt;&gt;"Sí"),"",MAX(1,DATEDIF(TODAY(),E11,"M")+1)),"")</x:f>
      </x:c>
      <x:c r="K11" s="18" t="str">
        <x:f>IFERROR(IF(OR(H11&lt;&gt;"Sí",D11&lt;=0,J11=""),"",MAX(0,D11-I11)/J11),"")</x:f>
      </x:c>
      <x:c r="L11" s="12"/>
      <x:c r="M11" s="12"/>
      <x:c r="N11" s="12"/>
    </x:row>
    <x:row r="12">
      <x:c r="A12" s="12"/>
      <x:c r="B12" s="12"/>
      <x:c r="C12" s="12"/>
      <x:c r="D12" s="18"/>
      <x:c r="E12" s="12"/>
      <x:c r="F12" s="12"/>
      <x:c r="G12" s="12"/>
      <x:c r="H12" s="12"/>
      <x:c r="I12" s="18"/>
      <x:c r="J12" s="18" t="str">
        <x:f>IFERROR(IF(OR(E12="",H12&lt;&gt;"Sí"),"",MAX(1,DATEDIF(TODAY(),E12,"M")+1)),"")</x:f>
      </x:c>
      <x:c r="K12" s="18" t="str">
        <x:f>IFERROR(IF(OR(H12&lt;&gt;"Sí",D12&lt;=0,J12=""),"",MAX(0,D12-I12)/J12),"")</x:f>
      </x:c>
      <x:c r="L12" s="12"/>
      <x:c r="M12" s="12"/>
      <x:c r="N12" s="12"/>
    </x:row>
    <x:row r="13">
      <x:c r="A13" s="12"/>
      <x:c r="B13" s="12"/>
      <x:c r="C13" s="12"/>
      <x:c r="D13" s="18"/>
      <x:c r="E13" s="12"/>
      <x:c r="F13" s="12"/>
      <x:c r="G13" s="12"/>
      <x:c r="H13" s="12"/>
      <x:c r="I13" s="18"/>
      <x:c r="J13" s="18" t="str">
        <x:f>IFERROR(IF(OR(E13="",H13&lt;&gt;"Sí"),"",MAX(1,DATEDIF(TODAY(),E13,"M")+1)),"")</x:f>
      </x:c>
      <x:c r="K13" s="18" t="str">
        <x:f>IFERROR(IF(OR(H13&lt;&gt;"Sí",D13&lt;=0,J13=""),"",MAX(0,D13-I13)/J13),"")</x:f>
      </x:c>
      <x:c r="L13" s="12"/>
      <x:c r="M13" s="12"/>
      <x:c r="N13" s="12"/>
    </x:row>
    <x:row r="14">
      <x:c r="A14" s="12"/>
      <x:c r="B14" s="12"/>
      <x:c r="C14" s="12"/>
      <x:c r="D14" s="18"/>
      <x:c r="E14" s="12"/>
      <x:c r="F14" s="12"/>
      <x:c r="G14" s="12"/>
      <x:c r="H14" s="12"/>
      <x:c r="I14" s="18"/>
      <x:c r="J14" s="18" t="str">
        <x:f>IFERROR(IF(OR(E14="",H14&lt;&gt;"Sí"),"",MAX(1,DATEDIF(TODAY(),E14,"M")+1)),"")</x:f>
      </x:c>
      <x:c r="K14" s="18" t="str">
        <x:f>IFERROR(IF(OR(H14&lt;&gt;"Sí",D14&lt;=0,J14=""),"",MAX(0,D14-I14)/J14),"")</x:f>
      </x:c>
      <x:c r="L14" s="12"/>
      <x:c r="M14" s="12"/>
      <x:c r="N14" s="12"/>
    </x:row>
    <x:row r="15">
      <x:c r="A15" s="12"/>
      <x:c r="B15" s="12"/>
      <x:c r="C15" s="12"/>
      <x:c r="D15" s="18"/>
      <x:c r="E15" s="12"/>
      <x:c r="F15" s="12"/>
      <x:c r="G15" s="12"/>
      <x:c r="H15" s="12"/>
      <x:c r="I15" s="18"/>
      <x:c r="J15" s="18" t="str">
        <x:f>IFERROR(IF(OR(E15="",H15&lt;&gt;"Sí"),"",MAX(1,DATEDIF(TODAY(),E15,"M")+1)),"")</x:f>
      </x:c>
      <x:c r="K15" s="18" t="str">
        <x:f>IFERROR(IF(OR(H15&lt;&gt;"Sí",D15&lt;=0,J15=""),"",MAX(0,D15-I15)/J15),"")</x:f>
      </x:c>
      <x:c r="L15" s="12"/>
      <x:c r="M15" s="12"/>
      <x:c r="N15" s="12"/>
    </x:row>
    <x:row r="16">
      <x:c r="A16" s="12"/>
      <x:c r="B16" s="12"/>
      <x:c r="C16" s="12"/>
      <x:c r="D16" s="18"/>
      <x:c r="E16" s="12"/>
      <x:c r="F16" s="12"/>
      <x:c r="G16" s="12"/>
      <x:c r="H16" s="12"/>
      <x:c r="I16" s="18"/>
      <x:c r="J16" s="18" t="str">
        <x:f>IFERROR(IF(OR(E16="",H16&lt;&gt;"Sí"),"",MAX(1,DATEDIF(TODAY(),E16,"M")+1)),"")</x:f>
      </x:c>
      <x:c r="K16" s="18" t="str">
        <x:f>IFERROR(IF(OR(H16&lt;&gt;"Sí",D16&lt;=0,J16=""),"",MAX(0,D16-I16)/J16),"")</x:f>
      </x:c>
      <x:c r="L16" s="12"/>
      <x:c r="M16" s="12"/>
      <x:c r="N16" s="12"/>
    </x:row>
    <x:row r="17">
      <x:c r="A17" s="12"/>
      <x:c r="B17" s="12"/>
      <x:c r="C17" s="12"/>
      <x:c r="D17" s="18"/>
      <x:c r="E17" s="12"/>
      <x:c r="F17" s="12"/>
      <x:c r="G17" s="12"/>
      <x:c r="H17" s="12"/>
      <x:c r="I17" s="18"/>
      <x:c r="J17" s="18" t="str">
        <x:f>IFERROR(IF(OR(E17="",H17&lt;&gt;"Sí"),"",MAX(1,DATEDIF(TODAY(),E17,"M")+1)),"")</x:f>
      </x:c>
      <x:c r="K17" s="18" t="str">
        <x:f>IFERROR(IF(OR(H17&lt;&gt;"Sí",D17&lt;=0,J17=""),"",MAX(0,D17-I17)/J17),"")</x:f>
      </x:c>
      <x:c r="L17" s="12"/>
      <x:c r="M17" s="12"/>
      <x:c r="N17" s="12"/>
    </x:row>
    <x:row r="18">
      <x:c r="A18" s="12"/>
      <x:c r="B18" s="12"/>
      <x:c r="C18" s="12"/>
      <x:c r="D18" s="18"/>
      <x:c r="E18" s="12"/>
      <x:c r="F18" s="12"/>
      <x:c r="G18" s="12"/>
      <x:c r="H18" s="12"/>
      <x:c r="I18" s="18"/>
      <x:c r="J18" s="18" t="str">
        <x:f>IFERROR(IF(OR(E18="",H18&lt;&gt;"Sí"),"",MAX(1,DATEDIF(TODAY(),E18,"M")+1)),"")</x:f>
      </x:c>
      <x:c r="K18" s="18" t="str">
        <x:f>IFERROR(IF(OR(H18&lt;&gt;"Sí",D18&lt;=0,J18=""),"",MAX(0,D18-I18)/J18),"")</x:f>
      </x:c>
      <x:c r="L18" s="12"/>
      <x:c r="M18" s="12"/>
      <x:c r="N18" s="12"/>
    </x:row>
    <x:row r="19">
      <x:c r="A19" s="12"/>
      <x:c r="B19" s="12"/>
      <x:c r="C19" s="12"/>
      <x:c r="D19" s="18"/>
      <x:c r="E19" s="12"/>
      <x:c r="F19" s="12"/>
      <x:c r="G19" s="12"/>
      <x:c r="H19" s="12"/>
      <x:c r="I19" s="18"/>
      <x:c r="J19" s="18" t="str">
        <x:f>IFERROR(IF(OR(E19="",H19&lt;&gt;"Sí"),"",MAX(1,DATEDIF(TODAY(),E19,"M")+1)),"")</x:f>
      </x:c>
      <x:c r="K19" s="18" t="str">
        <x:f>IFERROR(IF(OR(H19&lt;&gt;"Sí",D19&lt;=0,J19=""),"",MAX(0,D19-I19)/J19),"")</x:f>
      </x:c>
      <x:c r="L19" s="12"/>
      <x:c r="M19" s="12"/>
      <x:c r="N19" s="12"/>
    </x:row>
    <x:row r="20">
      <x:c r="A20" s="12"/>
      <x:c r="B20" s="12"/>
      <x:c r="C20" s="12"/>
      <x:c r="D20" s="18"/>
      <x:c r="E20" s="12"/>
      <x:c r="F20" s="12"/>
      <x:c r="G20" s="12"/>
      <x:c r="H20" s="12"/>
      <x:c r="I20" s="18"/>
      <x:c r="J20" s="18" t="str">
        <x:f>IFERROR(IF(OR(E20="",H20&lt;&gt;"Sí"),"",MAX(1,DATEDIF(TODAY(),E20,"M")+1)),"")</x:f>
      </x:c>
      <x:c r="K20" s="18" t="str">
        <x:f>IFERROR(IF(OR(H20&lt;&gt;"Sí",D20&lt;=0,J20=""),"",MAX(0,D20-I20)/J20),"")</x:f>
      </x:c>
      <x:c r="L20" s="12"/>
      <x:c r="M20" s="12"/>
      <x:c r="N20" s="12"/>
    </x:row>
    <x:row r="21">
      <x:c r="A21" s="12"/>
      <x:c r="B21" s="12"/>
      <x:c r="C21" s="12"/>
      <x:c r="D21" s="18"/>
      <x:c r="E21" s="12"/>
      <x:c r="F21" s="12"/>
      <x:c r="G21" s="12"/>
      <x:c r="H21" s="12"/>
      <x:c r="I21" s="18"/>
      <x:c r="J21" s="18" t="str">
        <x:f>IFERROR(IF(OR(E21="",H21&lt;&gt;"Sí"),"",MAX(1,DATEDIF(TODAY(),E21,"M")+1)),"")</x:f>
      </x:c>
      <x:c r="K21" s="18" t="str">
        <x:f>IFERROR(IF(OR(H21&lt;&gt;"Sí",D21&lt;=0,J21=""),"",MAX(0,D21-I21)/J21),"")</x:f>
      </x:c>
      <x:c r="L21" s="12"/>
      <x:c r="M21" s="12"/>
      <x:c r="N21" s="12"/>
    </x:row>
    <x:row r="22">
      <x:c r="A22" s="12"/>
      <x:c r="B22" s="12"/>
      <x:c r="C22" s="12"/>
      <x:c r="D22" s="18"/>
      <x:c r="E22" s="12"/>
      <x:c r="F22" s="12"/>
      <x:c r="G22" s="12"/>
      <x:c r="H22" s="12"/>
      <x:c r="I22" s="18"/>
      <x:c r="J22" s="18" t="str">
        <x:f>IFERROR(IF(OR(E22="",H22&lt;&gt;"Sí"),"",MAX(1,DATEDIF(TODAY(),E22,"M")+1)),"")</x:f>
      </x:c>
      <x:c r="K22" s="18" t="str">
        <x:f>IFERROR(IF(OR(H22&lt;&gt;"Sí",D22&lt;=0,J22=""),"",MAX(0,D22-I22)/J22),"")</x:f>
      </x:c>
      <x:c r="L22" s="12"/>
      <x:c r="M22" s="12"/>
      <x:c r="N22" s="12"/>
    </x:row>
    <x:row r="23">
      <x:c r="A23" s="12"/>
      <x:c r="B23" s="12"/>
      <x:c r="C23" s="12"/>
      <x:c r="D23" s="18"/>
      <x:c r="E23" s="12"/>
      <x:c r="F23" s="12"/>
      <x:c r="G23" s="12"/>
      <x:c r="H23" s="12"/>
      <x:c r="I23" s="18"/>
      <x:c r="J23" s="18" t="str">
        <x:f>IFERROR(IF(OR(E23="",H23&lt;&gt;"Sí"),"",MAX(1,DATEDIF(TODAY(),E23,"M")+1)),"")</x:f>
      </x:c>
      <x:c r="K23" s="18" t="str">
        <x:f>IFERROR(IF(OR(H23&lt;&gt;"Sí",D23&lt;=0,J23=""),"",MAX(0,D23-I23)/J23),"")</x:f>
      </x:c>
      <x:c r="L23" s="12"/>
      <x:c r="M23" s="12"/>
      <x:c r="N23" s="12"/>
    </x:row>
    <x:row r="24">
      <x:c r="A24" s="12"/>
      <x:c r="B24" s="12"/>
      <x:c r="C24" s="12"/>
      <x:c r="D24" s="18"/>
      <x:c r="E24" s="12"/>
      <x:c r="F24" s="12"/>
      <x:c r="G24" s="12"/>
      <x:c r="H24" s="12"/>
      <x:c r="I24" s="18"/>
      <x:c r="J24" s="18" t="str">
        <x:f>IFERROR(IF(OR(E24="",H24&lt;&gt;"Sí"),"",MAX(1,DATEDIF(TODAY(),E24,"M")+1)),"")</x:f>
      </x:c>
      <x:c r="K24" s="18" t="str">
        <x:f>IFERROR(IF(OR(H24&lt;&gt;"Sí",D24&lt;=0,J24=""),"",MAX(0,D24-I24)/J24),"")</x:f>
      </x:c>
      <x:c r="L24" s="12"/>
      <x:c r="M24" s="12"/>
      <x:c r="N24" s="12"/>
    </x:row>
    <x:row r="25">
      <x:c r="A25" s="12"/>
      <x:c r="B25" s="12"/>
      <x:c r="C25" s="12"/>
      <x:c r="D25" s="18"/>
      <x:c r="E25" s="12"/>
      <x:c r="F25" s="12"/>
      <x:c r="G25" s="12"/>
      <x:c r="H25" s="12"/>
      <x:c r="I25" s="18"/>
      <x:c r="J25" s="18" t="str">
        <x:f>IFERROR(IF(OR(E25="",H25&lt;&gt;"Sí"),"",MAX(1,DATEDIF(TODAY(),E25,"M")+1)),"")</x:f>
      </x:c>
      <x:c r="K25" s="18" t="str">
        <x:f>IFERROR(IF(OR(H25&lt;&gt;"Sí",D25&lt;=0,J25=""),"",MAX(0,D25-I25)/J25),"")</x:f>
      </x:c>
      <x:c r="L25" s="12"/>
      <x:c r="M25" s="12"/>
      <x:c r="N25" s="12"/>
    </x:row>
    <x:row r="26">
      <x:c r="A26" s="12"/>
      <x:c r="B26" s="12"/>
      <x:c r="C26" s="12"/>
      <x:c r="D26" s="18"/>
      <x:c r="E26" s="12"/>
      <x:c r="F26" s="12"/>
      <x:c r="G26" s="12"/>
      <x:c r="H26" s="12"/>
      <x:c r="I26" s="18"/>
      <x:c r="J26" s="18" t="str">
        <x:f>IFERROR(IF(OR(E26="",H26&lt;&gt;"Sí"),"",MAX(1,DATEDIF(TODAY(),E26,"M")+1)),"")</x:f>
      </x:c>
      <x:c r="K26" s="18" t="str">
        <x:f>IFERROR(IF(OR(H26&lt;&gt;"Sí",D26&lt;=0,J26=""),"",MAX(0,D26-I26)/J26),"")</x:f>
      </x:c>
      <x:c r="L26" s="12"/>
      <x:c r="M26" s="12"/>
      <x:c r="N26" s="12"/>
    </x:row>
    <x:row r="27">
      <x:c r="A27" s="12"/>
      <x:c r="B27" s="12"/>
      <x:c r="C27" s="12"/>
      <x:c r="D27" s="18"/>
      <x:c r="E27" s="12"/>
      <x:c r="F27" s="12"/>
      <x:c r="G27" s="12"/>
      <x:c r="H27" s="12"/>
      <x:c r="I27" s="18"/>
      <x:c r="J27" s="18" t="str">
        <x:f>IFERROR(IF(OR(E27="",H27&lt;&gt;"Sí"),"",MAX(1,DATEDIF(TODAY(),E27,"M")+1)),"")</x:f>
      </x:c>
      <x:c r="K27" s="18" t="str">
        <x:f>IFERROR(IF(OR(H27&lt;&gt;"Sí",D27&lt;=0,J27=""),"",MAX(0,D27-I27)/J27),"")</x:f>
      </x:c>
      <x:c r="L27" s="12"/>
      <x:c r="M27" s="12"/>
      <x:c r="N27" s="12"/>
    </x:row>
    <x:row r="28">
      <x:c r="A28" s="12"/>
      <x:c r="B28" s="12"/>
      <x:c r="C28" s="12"/>
      <x:c r="D28" s="18"/>
      <x:c r="E28" s="12"/>
      <x:c r="F28" s="12"/>
      <x:c r="G28" s="12"/>
      <x:c r="H28" s="12"/>
      <x:c r="I28" s="18"/>
      <x:c r="J28" s="18" t="str">
        <x:f>IFERROR(IF(OR(E28="",H28&lt;&gt;"Sí"),"",MAX(1,DATEDIF(TODAY(),E28,"M")+1)),"")</x:f>
      </x:c>
      <x:c r="K28" s="18" t="str">
        <x:f>IFERROR(IF(OR(H28&lt;&gt;"Sí",D28&lt;=0,J28=""),"",MAX(0,D28-I28)/J28),"")</x:f>
      </x:c>
      <x:c r="L28" s="12"/>
      <x:c r="M28" s="12"/>
      <x:c r="N28" s="12"/>
    </x:row>
    <x:row r="29">
      <x:c r="A29" s="12"/>
      <x:c r="B29" s="12"/>
      <x:c r="C29" s="12"/>
      <x:c r="D29" s="18"/>
      <x:c r="E29" s="12"/>
      <x:c r="F29" s="12"/>
      <x:c r="G29" s="12"/>
      <x:c r="H29" s="12"/>
      <x:c r="I29" s="18"/>
      <x:c r="J29" s="18" t="str">
        <x:f>IFERROR(IF(OR(E29="",H29&lt;&gt;"Sí"),"",MAX(1,DATEDIF(TODAY(),E29,"M")+1)),"")</x:f>
      </x:c>
      <x:c r="K29" s="18" t="str">
        <x:f>IFERROR(IF(OR(H29&lt;&gt;"Sí",D29&lt;=0,J29=""),"",MAX(0,D29-I29)/J29),"")</x:f>
      </x:c>
      <x:c r="L29" s="12"/>
      <x:c r="M29" s="12"/>
      <x:c r="N29" s="12"/>
    </x:row>
    <x:row r="30">
      <x:c r="A30" s="12"/>
      <x:c r="B30" s="12"/>
      <x:c r="C30" s="12"/>
      <x:c r="D30" s="18"/>
      <x:c r="E30" s="12"/>
      <x:c r="F30" s="12"/>
      <x:c r="G30" s="12"/>
      <x:c r="H30" s="12"/>
      <x:c r="I30" s="18"/>
      <x:c r="J30" s="18" t="str">
        <x:f>IFERROR(IF(OR(E30="",H30&lt;&gt;"Sí"),"",MAX(1,DATEDIF(TODAY(),E30,"M")+1)),"")</x:f>
      </x:c>
      <x:c r="K30" s="18" t="str">
        <x:f>IFERROR(IF(OR(H30&lt;&gt;"Sí",D30&lt;=0,J30=""),"",MAX(0,D30-I30)/J30),"")</x:f>
      </x:c>
      <x:c r="L30" s="12"/>
      <x:c r="M30" s="12"/>
      <x:c r="N30" s="12"/>
    </x:row>
    <x:row r="31">
      <x:c r="A31" s="12"/>
      <x:c r="B31" s="12"/>
      <x:c r="C31" s="12"/>
      <x:c r="D31" s="18"/>
      <x:c r="E31" s="12"/>
      <x:c r="F31" s="12"/>
      <x:c r="G31" s="12"/>
      <x:c r="H31" s="12"/>
      <x:c r="I31" s="18"/>
      <x:c r="J31" s="18" t="str">
        <x:f>IFERROR(IF(OR(E31="",H31&lt;&gt;"Sí"),"",MAX(1,DATEDIF(TODAY(),E31,"M")+1)),"")</x:f>
      </x:c>
      <x:c r="K31" s="18" t="str">
        <x:f>IFERROR(IF(OR(H31&lt;&gt;"Sí",D31&lt;=0,J31=""),"",MAX(0,D31-I31)/J31),"")</x:f>
      </x:c>
      <x:c r="L31" s="12"/>
      <x:c r="M31" s="12"/>
      <x:c r="N31" s="12"/>
    </x:row>
    <x:row r="32">
      <x:c r="A32" s="12"/>
      <x:c r="B32" s="12"/>
      <x:c r="C32" s="12"/>
      <x:c r="D32" s="18"/>
      <x:c r="E32" s="12"/>
      <x:c r="F32" s="12"/>
      <x:c r="G32" s="12"/>
      <x:c r="H32" s="12"/>
      <x:c r="I32" s="18"/>
      <x:c r="J32" s="18" t="str">
        <x:f>IFERROR(IF(OR(E32="",H32&lt;&gt;"Sí"),"",MAX(1,DATEDIF(TODAY(),E32,"M")+1)),"")</x:f>
      </x:c>
      <x:c r="K32" s="18" t="str">
        <x:f>IFERROR(IF(OR(H32&lt;&gt;"Sí",D32&lt;=0,J32=""),"",MAX(0,D32-I32)/J32),"")</x:f>
      </x:c>
      <x:c r="L32" s="12"/>
      <x:c r="M32" s="12"/>
      <x:c r="N32" s="12"/>
    </x:row>
    <x:row r="33">
      <x:c r="A33" s="12"/>
      <x:c r="B33" s="12"/>
      <x:c r="C33" s="12"/>
      <x:c r="D33" s="18"/>
      <x:c r="E33" s="12"/>
      <x:c r="F33" s="12"/>
      <x:c r="G33" s="12"/>
      <x:c r="H33" s="12"/>
      <x:c r="I33" s="18"/>
      <x:c r="J33" s="18" t="str">
        <x:f>IFERROR(IF(OR(E33="",H33&lt;&gt;"Sí"),"",MAX(1,DATEDIF(TODAY(),E33,"M")+1)),"")</x:f>
      </x:c>
      <x:c r="K33" s="18" t="str">
        <x:f>IFERROR(IF(OR(H33&lt;&gt;"Sí",D33&lt;=0,J33=""),"",MAX(0,D33-I33)/J33),"")</x:f>
      </x:c>
      <x:c r="L33" s="12"/>
      <x:c r="M33" s="12"/>
      <x:c r="N33" s="12"/>
    </x:row>
    <x:row r="34">
      <x:c r="A34" s="12"/>
      <x:c r="B34" s="12"/>
      <x:c r="C34" s="12"/>
      <x:c r="D34" s="18"/>
      <x:c r="E34" s="12"/>
      <x:c r="F34" s="12"/>
      <x:c r="G34" s="12"/>
      <x:c r="H34" s="12"/>
      <x:c r="I34" s="18"/>
      <x:c r="J34" s="18" t="str">
        <x:f>IFERROR(IF(OR(E34="",H34&lt;&gt;"Sí"),"",MAX(1,DATEDIF(TODAY(),E34,"M")+1)),"")</x:f>
      </x:c>
      <x:c r="K34" s="18" t="str">
        <x:f>IFERROR(IF(OR(H34&lt;&gt;"Sí",D34&lt;=0,J34=""),"",MAX(0,D34-I34)/J34),"")</x:f>
      </x:c>
      <x:c r="L34" s="12"/>
      <x:c r="M34" s="12"/>
      <x:c r="N34" s="12"/>
    </x:row>
    <x:row r="35">
      <x:c r="A35" s="12"/>
      <x:c r="B35" s="12"/>
      <x:c r="C35" s="12"/>
      <x:c r="D35" s="18"/>
      <x:c r="E35" s="12"/>
      <x:c r="F35" s="12"/>
      <x:c r="G35" s="12"/>
      <x:c r="H35" s="12"/>
      <x:c r="I35" s="18"/>
      <x:c r="J35" s="18" t="str">
        <x:f>IFERROR(IF(OR(E35="",H35&lt;&gt;"Sí"),"",MAX(1,DATEDIF(TODAY(),E35,"M")+1)),"")</x:f>
      </x:c>
      <x:c r="K35" s="18" t="str">
        <x:f>IFERROR(IF(OR(H35&lt;&gt;"Sí",D35&lt;=0,J35=""),"",MAX(0,D35-I35)/J35),"")</x:f>
      </x:c>
      <x:c r="L35" s="12"/>
      <x:c r="M35" s="12"/>
      <x:c r="N35" s="12"/>
    </x:row>
    <x:row r="36">
      <x:c r="A36" s="12"/>
      <x:c r="B36" s="12"/>
      <x:c r="C36" s="12"/>
      <x:c r="D36" s="18"/>
      <x:c r="E36" s="12"/>
      <x:c r="F36" s="12"/>
      <x:c r="G36" s="12"/>
      <x:c r="H36" s="12"/>
      <x:c r="I36" s="18"/>
      <x:c r="J36" s="18" t="str">
        <x:f>IFERROR(IF(OR(E36="",H36&lt;&gt;"Sí"),"",MAX(1,DATEDIF(TODAY(),E36,"M")+1)),"")</x:f>
      </x:c>
      <x:c r="K36" s="18" t="str">
        <x:f>IFERROR(IF(OR(H36&lt;&gt;"Sí",D36&lt;=0,J36=""),"",MAX(0,D36-I36)/J36),"")</x:f>
      </x:c>
      <x:c r="L36" s="12"/>
      <x:c r="M36" s="12"/>
      <x:c r="N36" s="12"/>
    </x:row>
    <x:row r="37">
      <x:c r="A37" s="12"/>
      <x:c r="B37" s="12"/>
      <x:c r="C37" s="12"/>
      <x:c r="D37" s="18"/>
      <x:c r="E37" s="12"/>
      <x:c r="F37" s="12"/>
      <x:c r="G37" s="12"/>
      <x:c r="H37" s="12"/>
      <x:c r="I37" s="18"/>
      <x:c r="J37" s="18" t="str">
        <x:f>IFERROR(IF(OR(E37="",H37&lt;&gt;"Sí"),"",MAX(1,DATEDIF(TODAY(),E37,"M")+1)),"")</x:f>
      </x:c>
      <x:c r="K37" s="18" t="str">
        <x:f>IFERROR(IF(OR(H37&lt;&gt;"Sí",D37&lt;=0,J37=""),"",MAX(0,D37-I37)/J37),"")</x:f>
      </x:c>
      <x:c r="L37" s="12"/>
      <x:c r="M37" s="12"/>
      <x:c r="N37" s="12"/>
    </x:row>
    <x:row r="38">
      <x:c r="A38" s="12"/>
      <x:c r="B38" s="12"/>
      <x:c r="C38" s="12"/>
      <x:c r="D38" s="18"/>
      <x:c r="E38" s="12"/>
      <x:c r="F38" s="12"/>
      <x:c r="G38" s="12"/>
      <x:c r="H38" s="12"/>
      <x:c r="I38" s="18"/>
      <x:c r="J38" s="18" t="str">
        <x:f>IFERROR(IF(OR(E38="",H38&lt;&gt;"Sí"),"",MAX(1,DATEDIF(TODAY(),E38,"M")+1)),"")</x:f>
      </x:c>
      <x:c r="K38" s="18" t="str">
        <x:f>IFERROR(IF(OR(H38&lt;&gt;"Sí",D38&lt;=0,J38=""),"",MAX(0,D38-I38)/J38),"")</x:f>
      </x:c>
      <x:c r="L38" s="12"/>
      <x:c r="M38" s="12"/>
      <x:c r="N38" s="12"/>
    </x:row>
    <x:row r="39">
      <x:c r="A39" s="12"/>
      <x:c r="B39" s="12"/>
      <x:c r="C39" s="12"/>
      <x:c r="D39" s="18"/>
      <x:c r="E39" s="12"/>
      <x:c r="F39" s="12"/>
      <x:c r="G39" s="12"/>
      <x:c r="H39" s="12"/>
      <x:c r="I39" s="18"/>
      <x:c r="J39" s="18" t="str">
        <x:f>IFERROR(IF(OR(E39="",H39&lt;&gt;"Sí"),"",MAX(1,DATEDIF(TODAY(),E39,"M")+1)),"")</x:f>
      </x:c>
      <x:c r="K39" s="18" t="str">
        <x:f>IFERROR(IF(OR(H39&lt;&gt;"Sí",D39&lt;=0,J39=""),"",MAX(0,D39-I39)/J39),"")</x:f>
      </x:c>
      <x:c r="L39" s="12"/>
      <x:c r="M39" s="12"/>
      <x:c r="N39" s="12"/>
    </x:row>
    <x:row r="40">
      <x:c r="A40" s="12"/>
      <x:c r="B40" s="12"/>
      <x:c r="C40" s="12"/>
      <x:c r="D40" s="18"/>
      <x:c r="E40" s="12"/>
      <x:c r="F40" s="12"/>
      <x:c r="G40" s="12"/>
      <x:c r="H40" s="12"/>
      <x:c r="I40" s="18"/>
      <x:c r="J40" s="18" t="str">
        <x:f>IFERROR(IF(OR(E40="",H40&lt;&gt;"Sí"),"",MAX(1,DATEDIF(TODAY(),E40,"M")+1)),"")</x:f>
      </x:c>
      <x:c r="K40" s="18" t="str">
        <x:f>IFERROR(IF(OR(H40&lt;&gt;"Sí",D40&lt;=0,J40=""),"",MAX(0,D40-I40)/J40),"")</x:f>
      </x:c>
      <x:c r="L40" s="12"/>
      <x:c r="M40" s="12"/>
      <x:c r="N40" s="12"/>
    </x:row>
    <x:row r="41">
      <x:c r="A41" s="12"/>
      <x:c r="B41" s="12"/>
      <x:c r="C41" s="12"/>
      <x:c r="D41" s="18"/>
      <x:c r="E41" s="12"/>
      <x:c r="F41" s="12"/>
      <x:c r="G41" s="12"/>
      <x:c r="H41" s="12"/>
      <x:c r="I41" s="18"/>
      <x:c r="J41" s="18" t="str">
        <x:f>IFERROR(IF(OR(E41="",H41&lt;&gt;"Sí"),"",MAX(1,DATEDIF(TODAY(),E41,"M")+1)),"")</x:f>
      </x:c>
      <x:c r="K41" s="18" t="str">
        <x:f>IFERROR(IF(OR(H41&lt;&gt;"Sí",D41&lt;=0,J41=""),"",MAX(0,D41-I41)/J41),"")</x:f>
      </x:c>
      <x:c r="L41" s="12"/>
      <x:c r="M41" s="12"/>
      <x:c r="N41" s="12"/>
    </x:row>
    <x:row r="42">
      <x:c r="A42" s="12"/>
      <x:c r="B42" s="12"/>
      <x:c r="C42" s="12"/>
      <x:c r="D42" s="18"/>
      <x:c r="E42" s="12"/>
      <x:c r="F42" s="12"/>
      <x:c r="G42" s="12"/>
      <x:c r="H42" s="12"/>
      <x:c r="I42" s="18"/>
      <x:c r="J42" s="18" t="str">
        <x:f>IFERROR(IF(OR(E42="",H42&lt;&gt;"Sí"),"",MAX(1,DATEDIF(TODAY(),E42,"M")+1)),"")</x:f>
      </x:c>
      <x:c r="K42" s="18" t="str">
        <x:f>IFERROR(IF(OR(H42&lt;&gt;"Sí",D42&lt;=0,J42=""),"",MAX(0,D42-I42)/J42),"")</x:f>
      </x:c>
      <x:c r="L42" s="12"/>
      <x:c r="M42" s="12"/>
      <x:c r="N42" s="12"/>
    </x:row>
    <x:row r="43">
      <x:c r="A43" s="12"/>
      <x:c r="B43" s="12"/>
      <x:c r="C43" s="12"/>
      <x:c r="D43" s="18"/>
      <x:c r="E43" s="12"/>
      <x:c r="F43" s="12"/>
      <x:c r="G43" s="12"/>
      <x:c r="H43" s="12"/>
      <x:c r="I43" s="18"/>
      <x:c r="J43" s="18" t="str">
        <x:f>IFERROR(IF(OR(E43="",H43&lt;&gt;"Sí"),"",MAX(1,DATEDIF(TODAY(),E43,"M")+1)),"")</x:f>
      </x:c>
      <x:c r="K43" s="18" t="str">
        <x:f>IFERROR(IF(OR(H43&lt;&gt;"Sí",D43&lt;=0,J43=""),"",MAX(0,D43-I43)/J43),"")</x:f>
      </x:c>
      <x:c r="L43" s="12"/>
      <x:c r="M43" s="12"/>
      <x:c r="N43" s="12"/>
    </x:row>
    <x:row r="44">
      <x:c r="A44" s="12"/>
      <x:c r="B44" s="12"/>
      <x:c r="C44" s="12"/>
      <x:c r="D44" s="18"/>
      <x:c r="E44" s="12"/>
      <x:c r="F44" s="12"/>
      <x:c r="G44" s="12"/>
      <x:c r="H44" s="12"/>
      <x:c r="I44" s="18"/>
      <x:c r="J44" s="18" t="str">
        <x:f>IFERROR(IF(OR(E44="",H44&lt;&gt;"Sí"),"",MAX(1,DATEDIF(TODAY(),E44,"M")+1)),"")</x:f>
      </x:c>
      <x:c r="K44" s="18" t="str">
        <x:f>IFERROR(IF(OR(H44&lt;&gt;"Sí",D44&lt;=0,J44=""),"",MAX(0,D44-I44)/J44),"")</x:f>
      </x:c>
      <x:c r="L44" s="12"/>
      <x:c r="M44" s="12"/>
      <x:c r="N44" s="12"/>
    </x:row>
    <x:row r="45">
      <x:c r="A45" s="12"/>
      <x:c r="B45" s="12"/>
      <x:c r="C45" s="12"/>
      <x:c r="D45" s="18"/>
      <x:c r="E45" s="12"/>
      <x:c r="F45" s="12"/>
      <x:c r="G45" s="12"/>
      <x:c r="H45" s="12"/>
      <x:c r="I45" s="18"/>
      <x:c r="J45" s="18" t="str">
        <x:f>IFERROR(IF(OR(E45="",H45&lt;&gt;"Sí"),"",MAX(1,DATEDIF(TODAY(),E45,"M")+1)),"")</x:f>
      </x:c>
      <x:c r="K45" s="18" t="str">
        <x:f>IFERROR(IF(OR(H45&lt;&gt;"Sí",D45&lt;=0,J45=""),"",MAX(0,D45-I45)/J45),"")</x:f>
      </x:c>
      <x:c r="L45" s="12"/>
      <x:c r="M45" s="12"/>
      <x:c r="N45" s="12"/>
    </x:row>
    <x:row r="46">
      <x:c r="A46" s="12"/>
      <x:c r="B46" s="12"/>
      <x:c r="C46" s="12"/>
      <x:c r="D46" s="18"/>
      <x:c r="E46" s="12"/>
      <x:c r="F46" s="12"/>
      <x:c r="G46" s="12"/>
      <x:c r="H46" s="12"/>
      <x:c r="I46" s="18"/>
      <x:c r="J46" s="18" t="str">
        <x:f>IFERROR(IF(OR(E46="",H46&lt;&gt;"Sí"),"",MAX(1,DATEDIF(TODAY(),E46,"M")+1)),"")</x:f>
      </x:c>
      <x:c r="K46" s="18" t="str">
        <x:f>IFERROR(IF(OR(H46&lt;&gt;"Sí",D46&lt;=0,J46=""),"",MAX(0,D46-I46)/J46),"")</x:f>
      </x:c>
      <x:c r="L46" s="12"/>
      <x:c r="M46" s="12"/>
      <x:c r="N46" s="12"/>
    </x:row>
    <x:row r="47">
      <x:c r="A47" s="12"/>
      <x:c r="B47" s="12"/>
      <x:c r="C47" s="12"/>
      <x:c r="D47" s="18"/>
      <x:c r="E47" s="12"/>
      <x:c r="F47" s="12"/>
      <x:c r="G47" s="12"/>
      <x:c r="H47" s="12"/>
      <x:c r="I47" s="18"/>
      <x:c r="J47" s="18" t="str">
        <x:f>IFERROR(IF(OR(E47="",H47&lt;&gt;"Sí"),"",MAX(1,DATEDIF(TODAY(),E47,"M")+1)),"")</x:f>
      </x:c>
      <x:c r="K47" s="18" t="str">
        <x:f>IFERROR(IF(OR(H47&lt;&gt;"Sí",D47&lt;=0,J47=""),"",MAX(0,D47-I47)/J47),"")</x:f>
      </x:c>
      <x:c r="L47" s="12"/>
      <x:c r="M47" s="12"/>
      <x:c r="N47" s="12"/>
    </x:row>
    <x:row r="48">
      <x:c r="A48" s="12"/>
      <x:c r="B48" s="12"/>
      <x:c r="C48" s="12"/>
      <x:c r="D48" s="18"/>
      <x:c r="E48" s="12"/>
      <x:c r="F48" s="12"/>
      <x:c r="G48" s="12"/>
      <x:c r="H48" s="12"/>
      <x:c r="I48" s="18"/>
      <x:c r="J48" s="18" t="str">
        <x:f>IFERROR(IF(OR(E48="",H48&lt;&gt;"Sí"),"",MAX(1,DATEDIF(TODAY(),E48,"M")+1)),"")</x:f>
      </x:c>
      <x:c r="K48" s="18" t="str">
        <x:f>IFERROR(IF(OR(H48&lt;&gt;"Sí",D48&lt;=0,J48=""),"",MAX(0,D48-I48)/J48),"")</x:f>
      </x:c>
      <x:c r="L48" s="12"/>
      <x:c r="M48" s="12"/>
      <x:c r="N48" s="12"/>
    </x:row>
    <x:row r="49">
      <x:c r="A49" s="12"/>
      <x:c r="B49" s="12"/>
      <x:c r="C49" s="12"/>
      <x:c r="D49" s="18"/>
      <x:c r="E49" s="12"/>
      <x:c r="F49" s="12"/>
      <x:c r="G49" s="12"/>
      <x:c r="H49" s="12"/>
      <x:c r="I49" s="18"/>
      <x:c r="J49" s="18" t="str">
        <x:f>IFERROR(IF(OR(E49="",H49&lt;&gt;"Sí"),"",MAX(1,DATEDIF(TODAY(),E49,"M")+1)),"")</x:f>
      </x:c>
      <x:c r="K49" s="18" t="str">
        <x:f>IFERROR(IF(OR(H49&lt;&gt;"Sí",D49&lt;=0,J49=""),"",MAX(0,D49-I49)/J49),"")</x:f>
      </x:c>
      <x:c r="L49" s="12"/>
      <x:c r="M49" s="12"/>
      <x:c r="N49" s="12"/>
    </x:row>
    <x:row r="50">
      <x:c r="A50" s="12"/>
      <x:c r="B50" s="12"/>
      <x:c r="C50" s="12"/>
      <x:c r="D50" s="18"/>
      <x:c r="E50" s="12"/>
      <x:c r="F50" s="12"/>
      <x:c r="G50" s="12"/>
      <x:c r="H50" s="12"/>
      <x:c r="I50" s="18"/>
      <x:c r="J50" s="18" t="str">
        <x:f>IFERROR(IF(OR(E50="",H50&lt;&gt;"Sí"),"",MAX(1,DATEDIF(TODAY(),E50,"M")+1)),"")</x:f>
      </x:c>
      <x:c r="K50" s="18" t="str">
        <x:f>IFERROR(IF(OR(H50&lt;&gt;"Sí",D50&lt;=0,J50=""),"",MAX(0,D50-I50)/J50),"")</x:f>
      </x:c>
      <x:c r="L50" s="12"/>
      <x:c r="M50" s="12"/>
      <x:c r="N50" s="12"/>
    </x:row>
    <x:row r="51">
      <x:c r="A51" s="12"/>
      <x:c r="B51" s="12"/>
      <x:c r="C51" s="12"/>
      <x:c r="D51" s="18"/>
      <x:c r="E51" s="12"/>
      <x:c r="F51" s="12"/>
      <x:c r="G51" s="12"/>
      <x:c r="H51" s="12"/>
      <x:c r="I51" s="18"/>
      <x:c r="J51" s="18" t="str">
        <x:f>IFERROR(IF(OR(E51="",H51&lt;&gt;"Sí"),"",MAX(1,DATEDIF(TODAY(),E51,"M")+1)),"")</x:f>
      </x:c>
      <x:c r="K51" s="18" t="str">
        <x:f>IFERROR(IF(OR(H51&lt;&gt;"Sí",D51&lt;=0,J51=""),"",MAX(0,D51-I51)/J51),"")</x:f>
      </x:c>
      <x:c r="L51" s="12"/>
      <x:c r="M51" s="12"/>
      <x:c r="N51" s="12"/>
    </x:row>
    <x:row r="52">
      <x:c r="A52" s="12"/>
      <x:c r="B52" s="12"/>
      <x:c r="C52" s="12"/>
      <x:c r="D52" s="18"/>
      <x:c r="E52" s="12"/>
      <x:c r="F52" s="12"/>
      <x:c r="G52" s="12"/>
      <x:c r="H52" s="12"/>
      <x:c r="I52" s="18"/>
      <x:c r="J52" s="18" t="str">
        <x:f>IFERROR(IF(OR(E52="",H52&lt;&gt;"Sí"),"",MAX(1,DATEDIF(TODAY(),E52,"M")+1)),"")</x:f>
      </x:c>
      <x:c r="K52" s="18" t="str">
        <x:f>IFERROR(IF(OR(H52&lt;&gt;"Sí",D52&lt;=0,J52=""),"",MAX(0,D52-I52)/J52),"")</x:f>
      </x:c>
      <x:c r="L52" s="12"/>
      <x:c r="M52" s="12"/>
      <x:c r="N52" s="12"/>
    </x:row>
    <x:row r="53">
      <x:c r="A53" s="12"/>
      <x:c r="B53" s="12"/>
      <x:c r="C53" s="12"/>
      <x:c r="D53" s="18"/>
      <x:c r="E53" s="12"/>
      <x:c r="F53" s="12"/>
      <x:c r="G53" s="12"/>
      <x:c r="H53" s="12"/>
      <x:c r="I53" s="18"/>
      <x:c r="J53" s="18" t="str">
        <x:f>IFERROR(IF(OR(E53="",H53&lt;&gt;"Sí"),"",MAX(1,DATEDIF(TODAY(),E53,"M")+1)),"")</x:f>
      </x:c>
      <x:c r="K53" s="18" t="str">
        <x:f>IFERROR(IF(OR(H53&lt;&gt;"Sí",D53&lt;=0,J53=""),"",MAX(0,D53-I53)/J53),"")</x:f>
      </x:c>
      <x:c r="L53" s="12"/>
      <x:c r="M53" s="12"/>
      <x:c r="N53" s="12"/>
    </x:row>
    <x:row r="54">
      <x:c r="A54" s="12"/>
      <x:c r="B54" s="12"/>
      <x:c r="C54" s="12"/>
      <x:c r="D54" s="18"/>
      <x:c r="E54" s="12"/>
      <x:c r="F54" s="12"/>
      <x:c r="G54" s="12"/>
      <x:c r="H54" s="12"/>
      <x:c r="I54" s="18"/>
      <x:c r="J54" s="18" t="str">
        <x:f>IFERROR(IF(OR(E54="",H54&lt;&gt;"Sí"),"",MAX(1,DATEDIF(TODAY(),E54,"M")+1)),"")</x:f>
      </x:c>
      <x:c r="K54" s="18" t="str">
        <x:f>IFERROR(IF(OR(H54&lt;&gt;"Sí",D54&lt;=0,J54=""),"",MAX(0,D54-I54)/J54),"")</x:f>
      </x:c>
      <x:c r="L54" s="12"/>
      <x:c r="M54" s="12"/>
      <x:c r="N54" s="12"/>
    </x:row>
    <x:row r="55">
      <x:c r="A55" s="12"/>
      <x:c r="B55" s="12"/>
      <x:c r="C55" s="12"/>
      <x:c r="D55" s="18"/>
      <x:c r="E55" s="12"/>
      <x:c r="F55" s="12"/>
      <x:c r="G55" s="12"/>
      <x:c r="H55" s="12"/>
      <x:c r="I55" s="18"/>
      <x:c r="J55" s="18" t="str">
        <x:f>IFERROR(IF(OR(E55="",H55&lt;&gt;"Sí"),"",MAX(1,DATEDIF(TODAY(),E55,"M")+1)),"")</x:f>
      </x:c>
      <x:c r="K55" s="18" t="str">
        <x:f>IFERROR(IF(OR(H55&lt;&gt;"Sí",D55&lt;=0,J55=""),"",MAX(0,D55-I55)/J55),"")</x:f>
      </x:c>
      <x:c r="L55" s="12"/>
      <x:c r="M55" s="12"/>
      <x:c r="N55" s="12"/>
    </x:row>
    <x:row r="56">
      <x:c r="A56" s="12"/>
      <x:c r="B56" s="12"/>
      <x:c r="C56" s="12"/>
      <x:c r="D56" s="18"/>
      <x:c r="E56" s="12"/>
      <x:c r="F56" s="12"/>
      <x:c r="G56" s="12"/>
      <x:c r="H56" s="12"/>
      <x:c r="I56" s="18"/>
      <x:c r="J56" s="18" t="str">
        <x:f>IFERROR(IF(OR(E56="",H56&lt;&gt;"Sí"),"",MAX(1,DATEDIF(TODAY(),E56,"M")+1)),"")</x:f>
      </x:c>
      <x:c r="K56" s="18" t="str">
        <x:f>IFERROR(IF(OR(H56&lt;&gt;"Sí",D56&lt;=0,J56=""),"",MAX(0,D56-I56)/J56),"")</x:f>
      </x:c>
      <x:c r="L56" s="12"/>
      <x:c r="M56" s="12"/>
      <x:c r="N56" s="12"/>
    </x:row>
    <x:row r="57">
      <x:c r="A57" s="12"/>
      <x:c r="B57" s="12"/>
      <x:c r="C57" s="12"/>
      <x:c r="D57" s="18"/>
      <x:c r="E57" s="12"/>
      <x:c r="F57" s="12"/>
      <x:c r="G57" s="12"/>
      <x:c r="H57" s="12"/>
      <x:c r="I57" s="18"/>
      <x:c r="J57" s="18" t="str">
        <x:f>IFERROR(IF(OR(E57="",H57&lt;&gt;"Sí"),"",MAX(1,DATEDIF(TODAY(),E57,"M")+1)),"")</x:f>
      </x:c>
      <x:c r="K57" s="18" t="str">
        <x:f>IFERROR(IF(OR(H57&lt;&gt;"Sí",D57&lt;=0,J57=""),"",MAX(0,D57-I57)/J57),"")</x:f>
      </x:c>
      <x:c r="L57" s="12"/>
      <x:c r="M57" s="12"/>
      <x:c r="N57" s="12"/>
    </x:row>
    <x:row r="58">
      <x:c r="A58" s="12"/>
      <x:c r="B58" s="12"/>
      <x:c r="C58" s="12"/>
      <x:c r="D58" s="18"/>
      <x:c r="E58" s="12"/>
      <x:c r="F58" s="12"/>
      <x:c r="G58" s="12"/>
      <x:c r="H58" s="12"/>
      <x:c r="I58" s="18"/>
      <x:c r="J58" s="18" t="str">
        <x:f>IFERROR(IF(OR(E58="",H58&lt;&gt;"Sí"),"",MAX(1,DATEDIF(TODAY(),E58,"M")+1)),"")</x:f>
      </x:c>
      <x:c r="K58" s="18" t="str">
        <x:f>IFERROR(IF(OR(H58&lt;&gt;"Sí",D58&lt;=0,J58=""),"",MAX(0,D58-I58)/J58),"")</x:f>
      </x:c>
      <x:c r="L58" s="12"/>
      <x:c r="M58" s="12"/>
      <x:c r="N58" s="12"/>
    </x:row>
    <x:row r="59">
      <x:c r="A59" s="12"/>
      <x:c r="B59" s="12"/>
      <x:c r="C59" s="12"/>
      <x:c r="D59" s="18"/>
      <x:c r="E59" s="12"/>
      <x:c r="F59" s="12"/>
      <x:c r="G59" s="12"/>
      <x:c r="H59" s="12"/>
      <x:c r="I59" s="18"/>
      <x:c r="J59" s="18" t="str">
        <x:f>IFERROR(IF(OR(E59="",H59&lt;&gt;"Sí"),"",MAX(1,DATEDIF(TODAY(),E59,"M")+1)),"")</x:f>
      </x:c>
      <x:c r="K59" s="18" t="str">
        <x:f>IFERROR(IF(OR(H59&lt;&gt;"Sí",D59&lt;=0,J59=""),"",MAX(0,D59-I59)/J59),"")</x:f>
      </x:c>
      <x:c r="L59" s="12"/>
      <x:c r="M59" s="12"/>
      <x:c r="N59" s="12"/>
    </x:row>
    <x:row r="60">
      <x:c r="A60" s="12"/>
      <x:c r="B60" s="12"/>
      <x:c r="C60" s="12"/>
      <x:c r="D60" s="18"/>
      <x:c r="E60" s="12"/>
      <x:c r="F60" s="12"/>
      <x:c r="G60" s="12"/>
      <x:c r="H60" s="12"/>
      <x:c r="I60" s="18"/>
      <x:c r="J60" s="18" t="str">
        <x:f>IFERROR(IF(OR(E60="",H60&lt;&gt;"Sí"),"",MAX(1,DATEDIF(TODAY(),E60,"M")+1)),"")</x:f>
      </x:c>
      <x:c r="K60" s="18" t="str">
        <x:f>IFERROR(IF(OR(H60&lt;&gt;"Sí",D60&lt;=0,J60=""),"",MAX(0,D60-I60)/J60),"")</x:f>
      </x:c>
      <x:c r="L60" s="12"/>
      <x:c r="M60" s="12"/>
      <x:c r="N60" s="12"/>
    </x:row>
    <x:row r="61">
      <x:c r="A61" s="12"/>
      <x:c r="B61" s="12"/>
      <x:c r="C61" s="12"/>
      <x:c r="D61" s="18"/>
      <x:c r="E61" s="12"/>
      <x:c r="F61" s="12"/>
      <x:c r="G61" s="12"/>
      <x:c r="H61" s="12"/>
      <x:c r="I61" s="18"/>
      <x:c r="J61" s="18" t="str">
        <x:f>IFERROR(IF(OR(E61="",H61&lt;&gt;"Sí"),"",MAX(1,DATEDIF(TODAY(),E61,"M")+1)),"")</x:f>
      </x:c>
      <x:c r="K61" s="18" t="str">
        <x:f>IFERROR(IF(OR(H61&lt;&gt;"Sí",D61&lt;=0,J61=""),"",MAX(0,D61-I61)/J61),"")</x:f>
      </x:c>
      <x:c r="L61" s="12"/>
      <x:c r="M61" s="12"/>
      <x:c r="N61" s="12"/>
    </x:row>
    <x:row r="62">
      <x:c r="A62" s="12"/>
      <x:c r="B62" s="12"/>
      <x:c r="C62" s="12"/>
      <x:c r="D62" s="18"/>
      <x:c r="E62" s="12"/>
      <x:c r="F62" s="12"/>
      <x:c r="G62" s="12"/>
      <x:c r="H62" s="12"/>
      <x:c r="I62" s="18"/>
      <x:c r="J62" s="18" t="str">
        <x:f>IFERROR(IF(OR(E62="",H62&lt;&gt;"Sí"),"",MAX(1,DATEDIF(TODAY(),E62,"M")+1)),"")</x:f>
      </x:c>
      <x:c r="K62" s="18" t="str">
        <x:f>IFERROR(IF(OR(H62&lt;&gt;"Sí",D62&lt;=0,J62=""),"",MAX(0,D62-I62)/J62),"")</x:f>
      </x:c>
      <x:c r="L62" s="12"/>
      <x:c r="M62" s="12"/>
      <x:c r="N62" s="12"/>
    </x:row>
    <x:row r="63">
      <x:c r="A63" s="12"/>
      <x:c r="B63" s="12"/>
      <x:c r="C63" s="12"/>
      <x:c r="D63" s="18"/>
      <x:c r="E63" s="12"/>
      <x:c r="F63" s="12"/>
      <x:c r="G63" s="12"/>
      <x:c r="H63" s="12"/>
      <x:c r="I63" s="18"/>
      <x:c r="J63" s="18" t="str">
        <x:f>IFERROR(IF(OR(E63="",H63&lt;&gt;"Sí"),"",MAX(1,DATEDIF(TODAY(),E63,"M")+1)),"")</x:f>
      </x:c>
      <x:c r="K63" s="18" t="str">
        <x:f>IFERROR(IF(OR(H63&lt;&gt;"Sí",D63&lt;=0,J63=""),"",MAX(0,D63-I63)/J63),"")</x:f>
      </x:c>
      <x:c r="L63" s="12"/>
      <x:c r="M63" s="12"/>
      <x:c r="N63" s="12"/>
    </x:row>
    <x:row r="64">
      <x:c r="A64" s="12"/>
      <x:c r="B64" s="12"/>
      <x:c r="C64" s="12"/>
      <x:c r="D64" s="18"/>
      <x:c r="E64" s="12"/>
      <x:c r="F64" s="12"/>
      <x:c r="G64" s="12"/>
      <x:c r="H64" s="12"/>
      <x:c r="I64" s="18"/>
      <x:c r="J64" s="18" t="str">
        <x:f>IFERROR(IF(OR(E64="",H64&lt;&gt;"Sí"),"",MAX(1,DATEDIF(TODAY(),E64,"M")+1)),"")</x:f>
      </x:c>
      <x:c r="K64" s="18" t="str">
        <x:f>IFERROR(IF(OR(H64&lt;&gt;"Sí",D64&lt;=0,J64=""),"",MAX(0,D64-I64)/J64),"")</x:f>
      </x:c>
      <x:c r="L64" s="12"/>
      <x:c r="M64" s="12"/>
      <x:c r="N64" s="12"/>
    </x:row>
    <x:row r="65">
      <x:c r="A65" s="12"/>
      <x:c r="B65" s="12"/>
      <x:c r="C65" s="12"/>
      <x:c r="D65" s="18"/>
      <x:c r="E65" s="12"/>
      <x:c r="F65" s="12"/>
      <x:c r="G65" s="12"/>
      <x:c r="H65" s="12"/>
      <x:c r="I65" s="18"/>
      <x:c r="J65" s="18" t="str">
        <x:f>IFERROR(IF(OR(E65="",H65&lt;&gt;"Sí"),"",MAX(1,DATEDIF(TODAY(),E65,"M")+1)),"")</x:f>
      </x:c>
      <x:c r="K65" s="18" t="str">
        <x:f>IFERROR(IF(OR(H65&lt;&gt;"Sí",D65&lt;=0,J65=""),"",MAX(0,D65-I65)/J65),"")</x:f>
      </x:c>
      <x:c r="L65" s="12"/>
      <x:c r="M65" s="12"/>
      <x:c r="N65" s="12"/>
    </x:row>
    <x:row r="66">
      <x:c r="A66" s="12"/>
      <x:c r="B66" s="12"/>
      <x:c r="C66" s="12"/>
      <x:c r="D66" s="18"/>
      <x:c r="E66" s="12"/>
      <x:c r="F66" s="12"/>
      <x:c r="G66" s="12"/>
      <x:c r="H66" s="12"/>
      <x:c r="I66" s="18"/>
      <x:c r="J66" s="18" t="str">
        <x:f>IFERROR(IF(OR(E66="",H66&lt;&gt;"Sí"),"",MAX(1,DATEDIF(TODAY(),E66,"M")+1)),"")</x:f>
      </x:c>
      <x:c r="K66" s="18" t="str">
        <x:f>IFERROR(IF(OR(H66&lt;&gt;"Sí",D66&lt;=0,J66=""),"",MAX(0,D66-I66)/J66),"")</x:f>
      </x:c>
      <x:c r="L66" s="12"/>
      <x:c r="M66" s="12"/>
      <x:c r="N66" s="12"/>
    </x:row>
    <x:row r="67">
      <x:c r="A67" s="12"/>
      <x:c r="B67" s="12"/>
      <x:c r="C67" s="12"/>
      <x:c r="D67" s="18"/>
      <x:c r="E67" s="12"/>
      <x:c r="F67" s="12"/>
      <x:c r="G67" s="12"/>
      <x:c r="H67" s="12"/>
      <x:c r="I67" s="18"/>
      <x:c r="J67" s="18" t="str">
        <x:f>IFERROR(IF(OR(E67="",H67&lt;&gt;"Sí"),"",MAX(1,DATEDIF(TODAY(),E67,"M")+1)),"")</x:f>
      </x:c>
      <x:c r="K67" s="18" t="str">
        <x:f>IFERROR(IF(OR(H67&lt;&gt;"Sí",D67&lt;=0,J67=""),"",MAX(0,D67-I67)/J67),"")</x:f>
      </x:c>
      <x:c r="L67" s="12"/>
      <x:c r="M67" s="12"/>
      <x:c r="N67" s="12"/>
    </x:row>
    <x:row r="68">
      <x:c r="A68" s="12"/>
      <x:c r="B68" s="12"/>
      <x:c r="C68" s="12"/>
      <x:c r="D68" s="18"/>
      <x:c r="E68" s="12"/>
      <x:c r="F68" s="12"/>
      <x:c r="G68" s="12"/>
      <x:c r="H68" s="12"/>
      <x:c r="I68" s="18"/>
      <x:c r="J68" s="18" t="str">
        <x:f>IFERROR(IF(OR(E68="",H68&lt;&gt;"Sí"),"",MAX(1,DATEDIF(TODAY(),E68,"M")+1)),"")</x:f>
      </x:c>
      <x:c r="K68" s="18" t="str">
        <x:f>IFERROR(IF(OR(H68&lt;&gt;"Sí",D68&lt;=0,J68=""),"",MAX(0,D68-I68)/J68),"")</x:f>
      </x:c>
      <x:c r="L68" s="12"/>
      <x:c r="M68" s="12"/>
      <x:c r="N68" s="12"/>
    </x:row>
    <x:row r="69">
      <x:c r="A69" s="12"/>
      <x:c r="B69" s="12"/>
      <x:c r="C69" s="12"/>
      <x:c r="D69" s="18"/>
      <x:c r="E69" s="12"/>
      <x:c r="F69" s="12"/>
      <x:c r="G69" s="12"/>
      <x:c r="H69" s="12"/>
      <x:c r="I69" s="18"/>
      <x:c r="J69" s="18" t="str">
        <x:f>IFERROR(IF(OR(E69="",H69&lt;&gt;"Sí"),"",MAX(1,DATEDIF(TODAY(),E69,"M")+1)),"")</x:f>
      </x:c>
      <x:c r="K69" s="18" t="str">
        <x:f>IFERROR(IF(OR(H69&lt;&gt;"Sí",D69&lt;=0,J69=""),"",MAX(0,D69-I69)/J69),"")</x:f>
      </x:c>
      <x:c r="L69" s="12"/>
      <x:c r="M69" s="12"/>
      <x:c r="N69" s="12"/>
    </x:row>
    <x:row r="70">
      <x:c r="A70" s="12"/>
      <x:c r="B70" s="12"/>
      <x:c r="C70" s="12"/>
      <x:c r="D70" s="18"/>
      <x:c r="E70" s="12"/>
      <x:c r="F70" s="12"/>
      <x:c r="G70" s="12"/>
      <x:c r="H70" s="12"/>
      <x:c r="I70" s="18"/>
      <x:c r="J70" s="18" t="str">
        <x:f>IFERROR(IF(OR(E70="",H70&lt;&gt;"Sí"),"",MAX(1,DATEDIF(TODAY(),E70,"M")+1)),"")</x:f>
      </x:c>
      <x:c r="K70" s="18" t="str">
        <x:f>IFERROR(IF(OR(H70&lt;&gt;"Sí",D70&lt;=0,J70=""),"",MAX(0,D70-I70)/J70),"")</x:f>
      </x:c>
      <x:c r="L70" s="12"/>
      <x:c r="M70" s="12"/>
      <x:c r="N70" s="12"/>
    </x:row>
    <x:row r="71">
      <x:c r="A71" s="12"/>
      <x:c r="B71" s="12"/>
      <x:c r="C71" s="12"/>
      <x:c r="D71" s="18"/>
      <x:c r="E71" s="12"/>
      <x:c r="F71" s="12"/>
      <x:c r="G71" s="12"/>
      <x:c r="H71" s="12"/>
      <x:c r="I71" s="18"/>
      <x:c r="J71" s="18" t="str">
        <x:f>IFERROR(IF(OR(E71="",H71&lt;&gt;"Sí"),"",MAX(1,DATEDIF(TODAY(),E71,"M")+1)),"")</x:f>
      </x:c>
      <x:c r="K71" s="18" t="str">
        <x:f>IFERROR(IF(OR(H71&lt;&gt;"Sí",D71&lt;=0,J71=""),"",MAX(0,D71-I71)/J71),"")</x:f>
      </x:c>
      <x:c r="L71" s="12"/>
      <x:c r="M71" s="12"/>
      <x:c r="N71" s="12"/>
    </x:row>
    <x:row r="72">
      <x:c r="A72" s="12"/>
      <x:c r="B72" s="12"/>
      <x:c r="C72" s="12"/>
      <x:c r="D72" s="18"/>
      <x:c r="E72" s="12"/>
      <x:c r="F72" s="12"/>
      <x:c r="G72" s="12"/>
      <x:c r="H72" s="12"/>
      <x:c r="I72" s="18"/>
      <x:c r="J72" s="18" t="str">
        <x:f>IFERROR(IF(OR(E72="",H72&lt;&gt;"Sí"),"",MAX(1,DATEDIF(TODAY(),E72,"M")+1)),"")</x:f>
      </x:c>
      <x:c r="K72" s="18" t="str">
        <x:f>IFERROR(IF(OR(H72&lt;&gt;"Sí",D72&lt;=0,J72=""),"",MAX(0,D72-I72)/J72),"")</x:f>
      </x:c>
      <x:c r="L72" s="12"/>
      <x:c r="M72" s="12"/>
      <x:c r="N72" s="12"/>
    </x:row>
    <x:row r="73">
      <x:c r="A73" s="12"/>
      <x:c r="B73" s="12"/>
      <x:c r="C73" s="12"/>
      <x:c r="D73" s="18"/>
      <x:c r="E73" s="12"/>
      <x:c r="F73" s="12"/>
      <x:c r="G73" s="12"/>
      <x:c r="H73" s="12"/>
      <x:c r="I73" s="18"/>
      <x:c r="J73" s="18" t="str">
        <x:f>IFERROR(IF(OR(E73="",H73&lt;&gt;"Sí"),"",MAX(1,DATEDIF(TODAY(),E73,"M")+1)),"")</x:f>
      </x:c>
      <x:c r="K73" s="18" t="str">
        <x:f>IFERROR(IF(OR(H73&lt;&gt;"Sí",D73&lt;=0,J73=""),"",MAX(0,D73-I73)/J73),"")</x:f>
      </x:c>
      <x:c r="L73" s="12"/>
      <x:c r="M73" s="12"/>
      <x:c r="N73" s="12"/>
    </x:row>
    <x:row r="74">
      <x:c r="A74" s="12"/>
      <x:c r="B74" s="12"/>
      <x:c r="C74" s="12"/>
      <x:c r="D74" s="18"/>
      <x:c r="E74" s="12"/>
      <x:c r="F74" s="12"/>
      <x:c r="G74" s="12"/>
      <x:c r="H74" s="12"/>
      <x:c r="I74" s="18"/>
      <x:c r="J74" s="18" t="str">
        <x:f>IFERROR(IF(OR(E74="",H74&lt;&gt;"Sí"),"",MAX(1,DATEDIF(TODAY(),E74,"M")+1)),"")</x:f>
      </x:c>
      <x:c r="K74" s="18" t="str">
        <x:f>IFERROR(IF(OR(H74&lt;&gt;"Sí",D74&lt;=0,J74=""),"",MAX(0,D74-I74)/J74),"")</x:f>
      </x:c>
      <x:c r="L74" s="12"/>
      <x:c r="M74" s="12"/>
      <x:c r="N74" s="12"/>
    </x:row>
    <x:row r="75">
      <x:c r="A75" s="12"/>
      <x:c r="B75" s="12"/>
      <x:c r="C75" s="12"/>
      <x:c r="D75" s="18"/>
      <x:c r="E75" s="12"/>
      <x:c r="F75" s="12"/>
      <x:c r="G75" s="12"/>
      <x:c r="H75" s="12"/>
      <x:c r="I75" s="18"/>
      <x:c r="J75" s="18" t="str">
        <x:f>IFERROR(IF(OR(E75="",H75&lt;&gt;"Sí"),"",MAX(1,DATEDIF(TODAY(),E75,"M")+1)),"")</x:f>
      </x:c>
      <x:c r="K75" s="18" t="str">
        <x:f>IFERROR(IF(OR(H75&lt;&gt;"Sí",D75&lt;=0,J75=""),"",MAX(0,D75-I75)/J75),"")</x:f>
      </x:c>
      <x:c r="L75" s="12"/>
      <x:c r="M75" s="12"/>
      <x:c r="N75" s="12"/>
    </x:row>
    <x:row r="76">
      <x:c r="A76" s="12"/>
      <x:c r="B76" s="12"/>
      <x:c r="C76" s="12"/>
      <x:c r="D76" s="18"/>
      <x:c r="E76" s="12"/>
      <x:c r="F76" s="12"/>
      <x:c r="G76" s="12"/>
      <x:c r="H76" s="12"/>
      <x:c r="I76" s="18"/>
      <x:c r="J76" s="18" t="str">
        <x:f>IFERROR(IF(OR(E76="",H76&lt;&gt;"Sí"),"",MAX(1,DATEDIF(TODAY(),E76,"M")+1)),"")</x:f>
      </x:c>
      <x:c r="K76" s="18" t="str">
        <x:f>IFERROR(IF(OR(H76&lt;&gt;"Sí",D76&lt;=0,J76=""),"",MAX(0,D76-I76)/J76),"")</x:f>
      </x:c>
      <x:c r="L76" s="12"/>
      <x:c r="M76" s="12"/>
      <x:c r="N76" s="12"/>
    </x:row>
    <x:row r="77">
      <x:c r="A77" s="12"/>
      <x:c r="B77" s="12"/>
      <x:c r="C77" s="12"/>
      <x:c r="D77" s="18"/>
      <x:c r="E77" s="12"/>
      <x:c r="F77" s="12"/>
      <x:c r="G77" s="12"/>
      <x:c r="H77" s="12"/>
      <x:c r="I77" s="18"/>
      <x:c r="J77" s="18" t="str">
        <x:f>IFERROR(IF(OR(E77="",H77&lt;&gt;"Sí"),"",MAX(1,DATEDIF(TODAY(),E77,"M")+1)),"")</x:f>
      </x:c>
      <x:c r="K77" s="18" t="str">
        <x:f>IFERROR(IF(OR(H77&lt;&gt;"Sí",D77&lt;=0,J77=""),"",MAX(0,D77-I77)/J77),"")</x:f>
      </x:c>
      <x:c r="L77" s="12"/>
      <x:c r="M77" s="12"/>
      <x:c r="N77" s="12"/>
    </x:row>
    <x:row r="78">
      <x:c r="A78" s="12"/>
      <x:c r="B78" s="12"/>
      <x:c r="C78" s="12"/>
      <x:c r="D78" s="18"/>
      <x:c r="E78" s="12"/>
      <x:c r="F78" s="12"/>
      <x:c r="G78" s="12"/>
      <x:c r="H78" s="12"/>
      <x:c r="I78" s="18"/>
      <x:c r="J78" s="18" t="str">
        <x:f>IFERROR(IF(OR(E78="",H78&lt;&gt;"Sí"),"",MAX(1,DATEDIF(TODAY(),E78,"M")+1)),"")</x:f>
      </x:c>
      <x:c r="K78" s="18" t="str">
        <x:f>IFERROR(IF(OR(H78&lt;&gt;"Sí",D78&lt;=0,J78=""),"",MAX(0,D78-I78)/J78),"")</x:f>
      </x:c>
      <x:c r="L78" s="12"/>
      <x:c r="M78" s="12"/>
      <x:c r="N78" s="12"/>
    </x:row>
    <x:row r="79">
      <x:c r="A79" s="12"/>
      <x:c r="B79" s="12"/>
      <x:c r="C79" s="12"/>
      <x:c r="D79" s="18"/>
      <x:c r="E79" s="12"/>
      <x:c r="F79" s="12"/>
      <x:c r="G79" s="12"/>
      <x:c r="H79" s="12"/>
      <x:c r="I79" s="18"/>
      <x:c r="J79" s="18" t="str">
        <x:f>IFERROR(IF(OR(E79="",H79&lt;&gt;"Sí"),"",MAX(1,DATEDIF(TODAY(),E79,"M")+1)),"")</x:f>
      </x:c>
      <x:c r="K79" s="18" t="str">
        <x:f>IFERROR(IF(OR(H79&lt;&gt;"Sí",D79&lt;=0,J79=""),"",MAX(0,D79-I79)/J79),"")</x:f>
      </x:c>
      <x:c r="L79" s="12"/>
      <x:c r="M79" s="12"/>
      <x:c r="N79" s="12"/>
    </x:row>
    <x:row r="80">
      <x:c r="A80" s="12"/>
      <x:c r="B80" s="12"/>
      <x:c r="C80" s="12"/>
      <x:c r="D80" s="18"/>
      <x:c r="E80" s="12"/>
      <x:c r="F80" s="12"/>
      <x:c r="G80" s="12"/>
      <x:c r="H80" s="12"/>
      <x:c r="I80" s="18"/>
      <x:c r="J80" s="18" t="str">
        <x:f>IFERROR(IF(OR(E80="",H80&lt;&gt;"Sí"),"",MAX(1,DATEDIF(TODAY(),E80,"M")+1)),"")</x:f>
      </x:c>
      <x:c r="K80" s="18" t="str">
        <x:f>IFERROR(IF(OR(H80&lt;&gt;"Sí",D80&lt;=0,J80=""),"",MAX(0,D80-I80)/J80),"")</x:f>
      </x:c>
      <x:c r="L80" s="12"/>
      <x:c r="M80" s="12"/>
      <x:c r="N80" s="12"/>
    </x:row>
    <x:row r="81">
      <x:c r="A81" s="12"/>
      <x:c r="B81" s="12"/>
      <x:c r="C81" s="12"/>
      <x:c r="D81" s="18"/>
      <x:c r="E81" s="12"/>
      <x:c r="F81" s="12"/>
      <x:c r="G81" s="12"/>
      <x:c r="H81" s="12"/>
      <x:c r="I81" s="18"/>
      <x:c r="J81" s="18" t="str">
        <x:f>IFERROR(IF(OR(E81="",H81&lt;&gt;"Sí"),"",MAX(1,DATEDIF(TODAY(),E81,"M")+1)),"")</x:f>
      </x:c>
      <x:c r="K81" s="18" t="str">
        <x:f>IFERROR(IF(OR(H81&lt;&gt;"Sí",D81&lt;=0,J81=""),"",MAX(0,D81-I81)/J81),"")</x:f>
      </x:c>
      <x:c r="L81" s="12"/>
      <x:c r="M81" s="12"/>
      <x:c r="N81" s="12"/>
    </x:row>
    <x:row r="82">
      <x:c r="A82" s="12"/>
      <x:c r="B82" s="12"/>
      <x:c r="C82" s="12"/>
      <x:c r="D82" s="18"/>
      <x:c r="E82" s="12"/>
      <x:c r="F82" s="12"/>
      <x:c r="G82" s="12"/>
      <x:c r="H82" s="12"/>
      <x:c r="I82" s="18"/>
      <x:c r="J82" s="18" t="str">
        <x:f>IFERROR(IF(OR(E82="",H82&lt;&gt;"Sí"),"",MAX(1,DATEDIF(TODAY(),E82,"M")+1)),"")</x:f>
      </x:c>
      <x:c r="K82" s="18" t="str">
        <x:f>IFERROR(IF(OR(H82&lt;&gt;"Sí",D82&lt;=0,J82=""),"",MAX(0,D82-I82)/J82),"")</x:f>
      </x:c>
      <x:c r="L82" s="12"/>
      <x:c r="M82" s="12"/>
      <x:c r="N82" s="12"/>
    </x:row>
    <x:row r="83">
      <x:c r="A83" s="12"/>
      <x:c r="B83" s="12"/>
      <x:c r="C83" s="12"/>
      <x:c r="D83" s="18"/>
      <x:c r="E83" s="12"/>
      <x:c r="F83" s="12"/>
      <x:c r="G83" s="12"/>
      <x:c r="H83" s="12"/>
      <x:c r="I83" s="18"/>
      <x:c r="J83" s="18" t="str">
        <x:f>IFERROR(IF(OR(E83="",H83&lt;&gt;"Sí"),"",MAX(1,DATEDIF(TODAY(),E83,"M")+1)),"")</x:f>
      </x:c>
      <x:c r="K83" s="18" t="str">
        <x:f>IFERROR(IF(OR(H83&lt;&gt;"Sí",D83&lt;=0,J83=""),"",MAX(0,D83-I83)/J83),"")</x:f>
      </x:c>
      <x:c r="L83" s="12"/>
      <x:c r="M83" s="12"/>
      <x:c r="N83" s="12"/>
    </x:row>
    <x:row r="84">
      <x:c r="A84" s="12"/>
      <x:c r="B84" s="12"/>
      <x:c r="C84" s="12"/>
      <x:c r="D84" s="18"/>
      <x:c r="E84" s="12"/>
      <x:c r="F84" s="12"/>
      <x:c r="G84" s="12"/>
      <x:c r="H84" s="12"/>
      <x:c r="I84" s="18"/>
      <x:c r="J84" s="18" t="str">
        <x:f>IFERROR(IF(OR(E84="",H84&lt;&gt;"Sí"),"",MAX(1,DATEDIF(TODAY(),E84,"M")+1)),"")</x:f>
      </x:c>
      <x:c r="K84" s="18" t="str">
        <x:f>IFERROR(IF(OR(H84&lt;&gt;"Sí",D84&lt;=0,J84=""),"",MAX(0,D84-I84)/J84),"")</x:f>
      </x:c>
      <x:c r="L84" s="12"/>
      <x:c r="M84" s="12"/>
      <x:c r="N84" s="12"/>
    </x:row>
    <x:row r="85">
      <x:c r="A85" s="12"/>
      <x:c r="B85" s="12"/>
      <x:c r="C85" s="12"/>
      <x:c r="D85" s="18"/>
      <x:c r="E85" s="12"/>
      <x:c r="F85" s="12"/>
      <x:c r="G85" s="12"/>
      <x:c r="H85" s="12"/>
      <x:c r="I85" s="18"/>
      <x:c r="J85" s="18" t="str">
        <x:f>IFERROR(IF(OR(E85="",H85&lt;&gt;"Sí"),"",MAX(1,DATEDIF(TODAY(),E85,"M")+1)),"")</x:f>
      </x:c>
      <x:c r="K85" s="18" t="str">
        <x:f>IFERROR(IF(OR(H85&lt;&gt;"Sí",D85&lt;=0,J85=""),"",MAX(0,D85-I85)/J85),"")</x:f>
      </x:c>
      <x:c r="L85" s="12"/>
      <x:c r="M85" s="12"/>
      <x:c r="N85" s="12"/>
    </x:row>
    <x:row r="86">
      <x:c r="A86" s="12"/>
      <x:c r="B86" s="12"/>
      <x:c r="C86" s="12"/>
      <x:c r="D86" s="18"/>
      <x:c r="E86" s="12"/>
      <x:c r="F86" s="12"/>
      <x:c r="G86" s="12"/>
      <x:c r="H86" s="12"/>
      <x:c r="I86" s="18"/>
      <x:c r="J86" s="18" t="str">
        <x:f>IFERROR(IF(OR(E86="",H86&lt;&gt;"Sí"),"",MAX(1,DATEDIF(TODAY(),E86,"M")+1)),"")</x:f>
      </x:c>
      <x:c r="K86" s="18" t="str">
        <x:f>IFERROR(IF(OR(H86&lt;&gt;"Sí",D86&lt;=0,J86=""),"",MAX(0,D86-I86)/J86),"")</x:f>
      </x:c>
      <x:c r="L86" s="12"/>
      <x:c r="M86" s="12"/>
      <x:c r="N86" s="12"/>
    </x:row>
    <x:row r="87">
      <x:c r="A87" s="12"/>
      <x:c r="B87" s="12"/>
      <x:c r="C87" s="12"/>
      <x:c r="D87" s="18"/>
      <x:c r="E87" s="12"/>
      <x:c r="F87" s="12"/>
      <x:c r="G87" s="12"/>
      <x:c r="H87" s="12"/>
      <x:c r="I87" s="18"/>
      <x:c r="J87" s="18" t="str">
        <x:f>IFERROR(IF(OR(E87="",H87&lt;&gt;"Sí"),"",MAX(1,DATEDIF(TODAY(),E87,"M")+1)),"")</x:f>
      </x:c>
      <x:c r="K87" s="18" t="str">
        <x:f>IFERROR(IF(OR(H87&lt;&gt;"Sí",D87&lt;=0,J87=""),"",MAX(0,D87-I87)/J87),"")</x:f>
      </x:c>
      <x:c r="L87" s="12"/>
      <x:c r="M87" s="12"/>
      <x:c r="N87" s="12"/>
    </x:row>
    <x:row r="88">
      <x:c r="A88" s="12"/>
      <x:c r="B88" s="12"/>
      <x:c r="C88" s="12"/>
      <x:c r="D88" s="18"/>
      <x:c r="E88" s="12"/>
      <x:c r="F88" s="12"/>
      <x:c r="G88" s="12"/>
      <x:c r="H88" s="12"/>
      <x:c r="I88" s="18"/>
      <x:c r="J88" s="18" t="str">
        <x:f>IFERROR(IF(OR(E88="",H88&lt;&gt;"Sí"),"",MAX(1,DATEDIF(TODAY(),E88,"M")+1)),"")</x:f>
      </x:c>
      <x:c r="K88" s="18" t="str">
        <x:f>IFERROR(IF(OR(H88&lt;&gt;"Sí",D88&lt;=0,J88=""),"",MAX(0,D88-I88)/J88),"")</x:f>
      </x:c>
      <x:c r="L88" s="12"/>
      <x:c r="M88" s="12"/>
      <x:c r="N88" s="12"/>
    </x:row>
    <x:row r="89">
      <x:c r="A89" s="12"/>
      <x:c r="B89" s="12"/>
      <x:c r="C89" s="12"/>
      <x:c r="D89" s="18"/>
      <x:c r="E89" s="12"/>
      <x:c r="F89" s="12"/>
      <x:c r="G89" s="12"/>
      <x:c r="H89" s="12"/>
      <x:c r="I89" s="18"/>
      <x:c r="J89" s="18" t="str">
        <x:f>IFERROR(IF(OR(E89="",H89&lt;&gt;"Sí"),"",MAX(1,DATEDIF(TODAY(),E89,"M")+1)),"")</x:f>
      </x:c>
      <x:c r="K89" s="18" t="str">
        <x:f>IFERROR(IF(OR(H89&lt;&gt;"Sí",D89&lt;=0,J89=""),"",MAX(0,D89-I89)/J89),"")</x:f>
      </x:c>
      <x:c r="L89" s="12"/>
      <x:c r="M89" s="12"/>
      <x:c r="N89" s="12"/>
    </x:row>
    <x:row r="90">
      <x:c r="A90" s="12"/>
      <x:c r="B90" s="12"/>
      <x:c r="C90" s="12"/>
      <x:c r="D90" s="18"/>
      <x:c r="E90" s="12"/>
      <x:c r="F90" s="12"/>
      <x:c r="G90" s="12"/>
      <x:c r="H90" s="12"/>
      <x:c r="I90" s="18"/>
      <x:c r="J90" s="18" t="str">
        <x:f>IFERROR(IF(OR(E90="",H90&lt;&gt;"Sí"),"",MAX(1,DATEDIF(TODAY(),E90,"M")+1)),"")</x:f>
      </x:c>
      <x:c r="K90" s="18" t="str">
        <x:f>IFERROR(IF(OR(H90&lt;&gt;"Sí",D90&lt;=0,J90=""),"",MAX(0,D90-I90)/J90),"")</x:f>
      </x:c>
      <x:c r="L90" s="12"/>
      <x:c r="M90" s="12"/>
      <x:c r="N90" s="12"/>
    </x:row>
    <x:row r="91">
      <x:c r="A91" s="12"/>
      <x:c r="B91" s="12"/>
      <x:c r="C91" s="12"/>
      <x:c r="D91" s="18"/>
      <x:c r="E91" s="12"/>
      <x:c r="F91" s="12"/>
      <x:c r="G91" s="12"/>
      <x:c r="H91" s="12"/>
      <x:c r="I91" s="18"/>
      <x:c r="J91" s="18" t="str">
        <x:f>IFERROR(IF(OR(E91="",H91&lt;&gt;"Sí"),"",MAX(1,DATEDIF(TODAY(),E91,"M")+1)),"")</x:f>
      </x:c>
      <x:c r="K91" s="18" t="str">
        <x:f>IFERROR(IF(OR(H91&lt;&gt;"Sí",D91&lt;=0,J91=""),"",MAX(0,D91-I91)/J91),"")</x:f>
      </x:c>
      <x:c r="L91" s="12"/>
      <x:c r="M91" s="12"/>
      <x:c r="N91" s="12"/>
    </x:row>
    <x:row r="92">
      <x:c r="A92" s="12"/>
      <x:c r="B92" s="12"/>
      <x:c r="C92" s="12"/>
      <x:c r="D92" s="18"/>
      <x:c r="E92" s="12"/>
      <x:c r="F92" s="12"/>
      <x:c r="G92" s="12"/>
      <x:c r="H92" s="12"/>
      <x:c r="I92" s="18"/>
      <x:c r="J92" s="18" t="str">
        <x:f>IFERROR(IF(OR(E92="",H92&lt;&gt;"Sí"),"",MAX(1,DATEDIF(TODAY(),E92,"M")+1)),"")</x:f>
      </x:c>
      <x:c r="K92" s="18" t="str">
        <x:f>IFERROR(IF(OR(H92&lt;&gt;"Sí",D92&lt;=0,J92=""),"",MAX(0,D92-I92)/J92),"")</x:f>
      </x:c>
      <x:c r="L92" s="12"/>
      <x:c r="M92" s="12"/>
      <x:c r="N92" s="12"/>
    </x:row>
    <x:row r="93">
      <x:c r="A93" s="12"/>
      <x:c r="B93" s="12"/>
      <x:c r="C93" s="12"/>
      <x:c r="D93" s="18"/>
      <x:c r="E93" s="12"/>
      <x:c r="F93" s="12"/>
      <x:c r="G93" s="12"/>
      <x:c r="H93" s="12"/>
      <x:c r="I93" s="18"/>
      <x:c r="J93" s="18" t="str">
        <x:f>IFERROR(IF(OR(E93="",H93&lt;&gt;"Sí"),"",MAX(1,DATEDIF(TODAY(),E93,"M")+1)),"")</x:f>
      </x:c>
      <x:c r="K93" s="18" t="str">
        <x:f>IFERROR(IF(OR(H93&lt;&gt;"Sí",D93&lt;=0,J93=""),"",MAX(0,D93-I93)/J93),"")</x:f>
      </x:c>
      <x:c r="L93" s="12"/>
      <x:c r="M93" s="12"/>
      <x:c r="N93" s="12"/>
    </x:row>
    <x:row r="94">
      <x:c r="A94" s="12"/>
      <x:c r="B94" s="12"/>
      <x:c r="C94" s="12"/>
      <x:c r="D94" s="18"/>
      <x:c r="E94" s="12"/>
      <x:c r="F94" s="12"/>
      <x:c r="G94" s="12"/>
      <x:c r="H94" s="12"/>
      <x:c r="I94" s="18"/>
      <x:c r="J94" s="18" t="str">
        <x:f>IFERROR(IF(OR(E94="",H94&lt;&gt;"Sí"),"",MAX(1,DATEDIF(TODAY(),E94,"M")+1)),"")</x:f>
      </x:c>
      <x:c r="K94" s="18" t="str">
        <x:f>IFERROR(IF(OR(H94&lt;&gt;"Sí",D94&lt;=0,J94=""),"",MAX(0,D94-I94)/J94),"")</x:f>
      </x:c>
      <x:c r="L94" s="12"/>
      <x:c r="M94" s="12"/>
      <x:c r="N94" s="12"/>
    </x:row>
    <x:row r="95">
      <x:c r="A95" s="12"/>
      <x:c r="B95" s="12"/>
      <x:c r="C95" s="12"/>
      <x:c r="D95" s="18"/>
      <x:c r="E95" s="12"/>
      <x:c r="F95" s="12"/>
      <x:c r="G95" s="12"/>
      <x:c r="H95" s="12"/>
      <x:c r="I95" s="18"/>
      <x:c r="J95" s="18" t="str">
        <x:f>IFERROR(IF(OR(E95="",H95&lt;&gt;"Sí"),"",MAX(1,DATEDIF(TODAY(),E95,"M")+1)),"")</x:f>
      </x:c>
      <x:c r="K95" s="18" t="str">
        <x:f>IFERROR(IF(OR(H95&lt;&gt;"Sí",D95&lt;=0,J95=""),"",MAX(0,D95-I95)/J95),"")</x:f>
      </x:c>
      <x:c r="L95" s="12"/>
      <x:c r="M95" s="12"/>
      <x:c r="N95" s="12"/>
    </x:row>
    <x:row r="96">
      <x:c r="A96" s="12"/>
      <x:c r="B96" s="12"/>
      <x:c r="C96" s="12"/>
      <x:c r="D96" s="18"/>
      <x:c r="E96" s="12"/>
      <x:c r="F96" s="12"/>
      <x:c r="G96" s="12"/>
      <x:c r="H96" s="12"/>
      <x:c r="I96" s="18"/>
      <x:c r="J96" s="18" t="str">
        <x:f>IFERROR(IF(OR(E96="",H96&lt;&gt;"Sí"),"",MAX(1,DATEDIF(TODAY(),E96,"M")+1)),"")</x:f>
      </x:c>
      <x:c r="K96" s="18" t="str">
        <x:f>IFERROR(IF(OR(H96&lt;&gt;"Sí",D96&lt;=0,J96=""),"",MAX(0,D96-I96)/J96),"")</x:f>
      </x:c>
      <x:c r="L96" s="12"/>
      <x:c r="M96" s="12"/>
      <x:c r="N96" s="12"/>
    </x:row>
    <x:row r="97">
      <x:c r="A97" s="12"/>
      <x:c r="B97" s="12"/>
      <x:c r="C97" s="12"/>
      <x:c r="D97" s="18"/>
      <x:c r="E97" s="12"/>
      <x:c r="F97" s="12"/>
      <x:c r="G97" s="12"/>
      <x:c r="H97" s="12"/>
      <x:c r="I97" s="18"/>
      <x:c r="J97" s="18" t="str">
        <x:f>IFERROR(IF(OR(E97="",H97&lt;&gt;"Sí"),"",MAX(1,DATEDIF(TODAY(),E97,"M")+1)),"")</x:f>
      </x:c>
      <x:c r="K97" s="18" t="str">
        <x:f>IFERROR(IF(OR(H97&lt;&gt;"Sí",D97&lt;=0,J97=""),"",MAX(0,D97-I97)/J97),"")</x:f>
      </x:c>
      <x:c r="L97" s="12"/>
      <x:c r="M97" s="12"/>
      <x:c r="N97" s="12"/>
    </x:row>
    <x:row r="98">
      <x:c r="A98" s="12"/>
      <x:c r="B98" s="12"/>
      <x:c r="C98" s="12"/>
      <x:c r="D98" s="18"/>
      <x:c r="E98" s="12"/>
      <x:c r="F98" s="12"/>
      <x:c r="G98" s="12"/>
      <x:c r="H98" s="12"/>
      <x:c r="I98" s="18"/>
      <x:c r="J98" s="18" t="str">
        <x:f>IFERROR(IF(OR(E98="",H98&lt;&gt;"Sí"),"",MAX(1,DATEDIF(TODAY(),E98,"M")+1)),"")</x:f>
      </x:c>
      <x:c r="K98" s="18" t="str">
        <x:f>IFERROR(IF(OR(H98&lt;&gt;"Sí",D98&lt;=0,J98=""),"",MAX(0,D98-I98)/J98),"")</x:f>
      </x:c>
      <x:c r="L98" s="12"/>
      <x:c r="M98" s="12"/>
      <x:c r="N98" s="12"/>
    </x:row>
    <x:row r="99">
      <x:c r="A99" s="12"/>
      <x:c r="B99" s="12"/>
      <x:c r="C99" s="12"/>
      <x:c r="D99" s="18"/>
      <x:c r="E99" s="12"/>
      <x:c r="F99" s="12"/>
      <x:c r="G99" s="12"/>
      <x:c r="H99" s="12"/>
      <x:c r="I99" s="18"/>
      <x:c r="J99" s="18" t="str">
        <x:f>IFERROR(IF(OR(E99="",H99&lt;&gt;"Sí"),"",MAX(1,DATEDIF(TODAY(),E99,"M")+1)),"")</x:f>
      </x:c>
      <x:c r="K99" s="18" t="str">
        <x:f>IFERROR(IF(OR(H99&lt;&gt;"Sí",D99&lt;=0,J99=""),"",MAX(0,D99-I99)/J99),"")</x:f>
      </x:c>
      <x:c r="L99" s="12"/>
      <x:c r="M99" s="12"/>
      <x:c r="N99" s="12"/>
    </x:row>
    <x:row r="100">
      <x:c r="A100" s="12"/>
      <x:c r="B100" s="12"/>
      <x:c r="C100" s="12"/>
      <x:c r="D100" s="18"/>
      <x:c r="E100" s="12"/>
      <x:c r="F100" s="12"/>
      <x:c r="G100" s="12"/>
      <x:c r="H100" s="12"/>
      <x:c r="I100" s="18"/>
      <x:c r="J100" s="18" t="str">
        <x:f>IFERROR(IF(OR(E100="",H100&lt;&gt;"Sí"),"",MAX(1,DATEDIF(TODAY(),E100,"M")+1)),"")</x:f>
      </x:c>
      <x:c r="K100" s="18" t="str">
        <x:f>IFERROR(IF(OR(H100&lt;&gt;"Sí",D100&lt;=0,J100=""),"",MAX(0,D100-I100)/J100),"")</x:f>
      </x:c>
      <x:c r="L100" s="12"/>
      <x:c r="M100" s="12"/>
      <x:c r="N100" s="12"/>
    </x:row>
    <x:row r="101">
      <x:c r="A101" s="12"/>
      <x:c r="B101" s="12"/>
      <x:c r="C101" s="12"/>
      <x:c r="D101" s="18"/>
      <x:c r="E101" s="12"/>
      <x:c r="F101" s="12"/>
      <x:c r="G101" s="12"/>
      <x:c r="H101" s="12"/>
      <x:c r="I101" s="18"/>
      <x:c r="J101" s="18" t="str">
        <x:f>IFERROR(IF(OR(E101="",H101&lt;&gt;"Sí"),"",MAX(1,DATEDIF(TODAY(),E101,"M")+1)),"")</x:f>
      </x:c>
      <x:c r="K101" s="18" t="str">
        <x:f>IFERROR(IF(OR(H101&lt;&gt;"Sí",D101&lt;=0,J101=""),"",MAX(0,D101-I101)/J101),"")</x:f>
      </x:c>
      <x:c r="L101" s="12"/>
      <x:c r="M101" s="12"/>
      <x:c r="N101" s="12"/>
    </x:row>
    <x:row r="102">
      <x:c r="A102" s="12"/>
      <x:c r="B102" s="12"/>
      <x:c r="C102" s="12"/>
      <x:c r="D102" s="18"/>
      <x:c r="E102" s="12"/>
      <x:c r="F102" s="12"/>
      <x:c r="G102" s="12"/>
      <x:c r="H102" s="12"/>
      <x:c r="I102" s="18"/>
      <x:c r="J102" s="18" t="str">
        <x:f>IFERROR(IF(OR(E102="",H102&lt;&gt;"Sí"),"",MAX(1,DATEDIF(TODAY(),E102,"M")+1)),"")</x:f>
      </x:c>
      <x:c r="K102" s="18" t="str">
        <x:f>IFERROR(IF(OR(H102&lt;&gt;"Sí",D102&lt;=0,J102=""),"",MAX(0,D102-I102)/J102),"")</x:f>
      </x:c>
      <x:c r="L102" s="12"/>
      <x:c r="M102" s="12"/>
      <x:c r="N102" s="12"/>
    </x:row>
    <x:row r="103">
      <x:c r="A103" s="12"/>
      <x:c r="B103" s="12"/>
      <x:c r="C103" s="12"/>
      <x:c r="D103" s="18"/>
      <x:c r="E103" s="12"/>
      <x:c r="F103" s="12"/>
      <x:c r="G103" s="12"/>
      <x:c r="H103" s="12"/>
      <x:c r="I103" s="18"/>
      <x:c r="J103" s="18" t="str">
        <x:f>IFERROR(IF(OR(E103="",H103&lt;&gt;"Sí"),"",MAX(1,DATEDIF(TODAY(),E103,"M")+1)),"")</x:f>
      </x:c>
      <x:c r="K103" s="18" t="str">
        <x:f>IFERROR(IF(OR(H103&lt;&gt;"Sí",D103&lt;=0,J103=""),"",MAX(0,D103-I103)/J103),"")</x:f>
      </x:c>
      <x:c r="L103" s="12"/>
      <x:c r="M103" s="12"/>
      <x:c r="N103" s="12"/>
    </x:row>
    <x:row r="104">
      <x:c r="A104" s="12"/>
      <x:c r="B104" s="12"/>
      <x:c r="C104" s="12"/>
      <x:c r="D104" s="18"/>
      <x:c r="E104" s="12"/>
      <x:c r="F104" s="12"/>
      <x:c r="G104" s="12"/>
      <x:c r="H104" s="12"/>
      <x:c r="I104" s="18"/>
      <x:c r="J104" s="18" t="str">
        <x:f>IFERROR(IF(OR(E104="",H104&lt;&gt;"Sí"),"",MAX(1,DATEDIF(TODAY(),E104,"M")+1)),"")</x:f>
      </x:c>
      <x:c r="K104" s="18" t="str">
        <x:f>IFERROR(IF(OR(H104&lt;&gt;"Sí",D104&lt;=0,J104=""),"",MAX(0,D104-I104)/J104),"")</x:f>
      </x:c>
      <x:c r="L104" s="12"/>
      <x:c r="M104" s="12"/>
      <x:c r="N104" s="12"/>
    </x:row>
    <x:row r="105">
      <x:c r="A105" s="12"/>
      <x:c r="B105" s="12"/>
      <x:c r="C105" s="12"/>
      <x:c r="D105" s="18"/>
      <x:c r="E105" s="12"/>
      <x:c r="F105" s="12"/>
      <x:c r="G105" s="12"/>
      <x:c r="H105" s="12"/>
      <x:c r="I105" s="18"/>
      <x:c r="J105" s="18" t="str">
        <x:f>IFERROR(IF(OR(E105="",H105&lt;&gt;"Sí"),"",MAX(1,DATEDIF(TODAY(),E105,"M")+1)),"")</x:f>
      </x:c>
      <x:c r="K105" s="18" t="str">
        <x:f>IFERROR(IF(OR(H105&lt;&gt;"Sí",D105&lt;=0,J105=""),"",MAX(0,D105-I105)/J105),"")</x:f>
      </x:c>
      <x:c r="L105" s="12"/>
      <x:c r="M105" s="12"/>
      <x:c r="N105" s="12"/>
    </x:row>
    <x:row r="106">
      <x:c r="A106" s="12"/>
      <x:c r="B106" s="12"/>
      <x:c r="C106" s="12"/>
      <x:c r="D106" s="18"/>
      <x:c r="E106" s="12"/>
      <x:c r="F106" s="12"/>
      <x:c r="G106" s="12"/>
      <x:c r="H106" s="12"/>
      <x:c r="I106" s="18"/>
      <x:c r="J106" s="18" t="str">
        <x:f>IFERROR(IF(OR(E106="",H106&lt;&gt;"Sí"),"",MAX(1,DATEDIF(TODAY(),E106,"M")+1)),"")</x:f>
      </x:c>
      <x:c r="K106" s="18" t="str">
        <x:f>IFERROR(IF(OR(H106&lt;&gt;"Sí",D106&lt;=0,J106=""),"",MAX(0,D106-I106)/J106),"")</x:f>
      </x:c>
      <x:c r="L106" s="12"/>
      <x:c r="M106" s="12"/>
      <x:c r="N106" s="12"/>
    </x:row>
    <x:row r="107">
      <x:c r="A107" s="12"/>
      <x:c r="B107" s="12"/>
      <x:c r="C107" s="12"/>
      <x:c r="D107" s="18"/>
      <x:c r="E107" s="12"/>
      <x:c r="F107" s="12"/>
      <x:c r="G107" s="12"/>
      <x:c r="H107" s="12"/>
      <x:c r="I107" s="18"/>
      <x:c r="J107" s="18" t="str">
        <x:f>IFERROR(IF(OR(E107="",H107&lt;&gt;"Sí"),"",MAX(1,DATEDIF(TODAY(),E107,"M")+1)),"")</x:f>
      </x:c>
      <x:c r="K107" s="18" t="str">
        <x:f>IFERROR(IF(OR(H107&lt;&gt;"Sí",D107&lt;=0,J107=""),"",MAX(0,D107-I107)/J107),"")</x:f>
      </x:c>
      <x:c r="L107" s="12"/>
      <x:c r="M107" s="12"/>
      <x:c r="N107" s="12"/>
    </x:row>
    <x:row r="108">
      <x:c r="A108" s="12"/>
      <x:c r="B108" s="12"/>
      <x:c r="C108" s="12"/>
      <x:c r="D108" s="18"/>
      <x:c r="E108" s="12"/>
      <x:c r="F108" s="12"/>
      <x:c r="G108" s="12"/>
      <x:c r="H108" s="12"/>
      <x:c r="I108" s="18"/>
      <x:c r="J108" s="18" t="str">
        <x:f>IFERROR(IF(OR(E108="",H108&lt;&gt;"Sí"),"",MAX(1,DATEDIF(TODAY(),E108,"M")+1)),"")</x:f>
      </x:c>
      <x:c r="K108" s="18" t="str">
        <x:f>IFERROR(IF(OR(H108&lt;&gt;"Sí",D108&lt;=0,J108=""),"",MAX(0,D108-I108)/J108),"")</x:f>
      </x:c>
      <x:c r="L108" s="12"/>
      <x:c r="M108" s="12"/>
      <x:c r="N108" s="12"/>
    </x:row>
    <x:row r="109">
      <x:c r="A109" s="12"/>
      <x:c r="B109" s="12"/>
      <x:c r="C109" s="12"/>
      <x:c r="D109" s="18"/>
      <x:c r="E109" s="12"/>
      <x:c r="F109" s="12"/>
      <x:c r="G109" s="12"/>
      <x:c r="H109" s="12"/>
      <x:c r="I109" s="18"/>
      <x:c r="J109" s="18" t="str">
        <x:f>IFERROR(IF(OR(E109="",H109&lt;&gt;"Sí"),"",MAX(1,DATEDIF(TODAY(),E109,"M")+1)),"")</x:f>
      </x:c>
      <x:c r="K109" s="18" t="str">
        <x:f>IFERROR(IF(OR(H109&lt;&gt;"Sí",D109&lt;=0,J109=""),"",MAX(0,D109-I109)/J109),"")</x:f>
      </x:c>
      <x:c r="L109" s="12"/>
      <x:c r="M109" s="12"/>
      <x:c r="N109" s="12"/>
    </x:row>
    <x:row r="110">
      <x:c r="A110" s="12"/>
      <x:c r="B110" s="12"/>
      <x:c r="C110" s="12"/>
      <x:c r="D110" s="18"/>
      <x:c r="E110" s="12"/>
      <x:c r="F110" s="12"/>
      <x:c r="G110" s="12"/>
      <x:c r="H110" s="12"/>
      <x:c r="I110" s="18"/>
      <x:c r="J110" s="18" t="str">
        <x:f>IFERROR(IF(OR(E110="",H110&lt;&gt;"Sí"),"",MAX(1,DATEDIF(TODAY(),E110,"M")+1)),"")</x:f>
      </x:c>
      <x:c r="K110" s="18" t="str">
        <x:f>IFERROR(IF(OR(H110&lt;&gt;"Sí",D110&lt;=0,J110=""),"",MAX(0,D110-I110)/J110),"")</x:f>
      </x:c>
      <x:c r="L110" s="12"/>
      <x:c r="M110" s="12"/>
      <x:c r="N110" s="12"/>
    </x:row>
    <x:row r="111">
      <x:c r="A111" s="12"/>
      <x:c r="B111" s="12"/>
      <x:c r="C111" s="12"/>
      <x:c r="D111" s="18"/>
      <x:c r="E111" s="12"/>
      <x:c r="F111" s="12"/>
      <x:c r="G111" s="12"/>
      <x:c r="H111" s="12"/>
      <x:c r="I111" s="18"/>
      <x:c r="J111" s="18" t="str">
        <x:f>IFERROR(IF(OR(E111="",H111&lt;&gt;"Sí"),"",MAX(1,DATEDIF(TODAY(),E111,"M")+1)),"")</x:f>
      </x:c>
      <x:c r="K111" s="18" t="str">
        <x:f>IFERROR(IF(OR(H111&lt;&gt;"Sí",D111&lt;=0,J111=""),"",MAX(0,D111-I111)/J111),"")</x:f>
      </x:c>
      <x:c r="L111" s="12"/>
      <x:c r="M111" s="12"/>
      <x:c r="N111" s="12"/>
    </x:row>
    <x:row r="112">
      <x:c r="A112" s="12"/>
      <x:c r="B112" s="12"/>
      <x:c r="C112" s="12"/>
      <x:c r="D112" s="18"/>
      <x:c r="E112" s="12"/>
      <x:c r="F112" s="12"/>
      <x:c r="G112" s="12"/>
      <x:c r="H112" s="12"/>
      <x:c r="I112" s="18"/>
      <x:c r="J112" s="18" t="str">
        <x:f>IFERROR(IF(OR(E112="",H112&lt;&gt;"Sí"),"",MAX(1,DATEDIF(TODAY(),E112,"M")+1)),"")</x:f>
      </x:c>
      <x:c r="K112" s="18" t="str">
        <x:f>IFERROR(IF(OR(H112&lt;&gt;"Sí",D112&lt;=0,J112=""),"",MAX(0,D112-I112)/J112),"")</x:f>
      </x:c>
      <x:c r="L112" s="12"/>
      <x:c r="M112" s="12"/>
      <x:c r="N112" s="12"/>
    </x:row>
    <x:row r="113">
      <x:c r="A113" s="12"/>
      <x:c r="B113" s="12"/>
      <x:c r="C113" s="12"/>
      <x:c r="D113" s="18"/>
      <x:c r="E113" s="12"/>
      <x:c r="F113" s="12"/>
      <x:c r="G113" s="12"/>
      <x:c r="H113" s="12"/>
      <x:c r="I113" s="18"/>
      <x:c r="J113" s="18" t="str">
        <x:f>IFERROR(IF(OR(E113="",H113&lt;&gt;"Sí"),"",MAX(1,DATEDIF(TODAY(),E113,"M")+1)),"")</x:f>
      </x:c>
      <x:c r="K113" s="18" t="str">
        <x:f>IFERROR(IF(OR(H113&lt;&gt;"Sí",D113&lt;=0,J113=""),"",MAX(0,D113-I113)/J113),"")</x:f>
      </x:c>
      <x:c r="L113" s="12"/>
      <x:c r="M113" s="12"/>
      <x:c r="N113" s="12"/>
    </x:row>
    <x:row r="114">
      <x:c r="A114" s="12"/>
      <x:c r="B114" s="12"/>
      <x:c r="C114" s="12"/>
      <x:c r="D114" s="18"/>
      <x:c r="E114" s="12"/>
      <x:c r="F114" s="12"/>
      <x:c r="G114" s="12"/>
      <x:c r="H114" s="12"/>
      <x:c r="I114" s="18"/>
      <x:c r="J114" s="18" t="str">
        <x:f>IFERROR(IF(OR(E114="",H114&lt;&gt;"Sí"),"",MAX(1,DATEDIF(TODAY(),E114,"M")+1)),"")</x:f>
      </x:c>
      <x:c r="K114" s="18" t="str">
        <x:f>IFERROR(IF(OR(H114&lt;&gt;"Sí",D114&lt;=0,J114=""),"",MAX(0,D114-I114)/J114),"")</x:f>
      </x:c>
      <x:c r="L114" s="12"/>
      <x:c r="M114" s="12"/>
      <x:c r="N114" s="12"/>
    </x:row>
    <x:row r="115">
      <x:c r="A115" s="12"/>
      <x:c r="B115" s="12"/>
      <x:c r="C115" s="12"/>
      <x:c r="D115" s="18"/>
      <x:c r="E115" s="12"/>
      <x:c r="F115" s="12"/>
      <x:c r="G115" s="12"/>
      <x:c r="H115" s="12"/>
      <x:c r="I115" s="18"/>
      <x:c r="J115" s="18" t="str">
        <x:f>IFERROR(IF(OR(E115="",H115&lt;&gt;"Sí"),"",MAX(1,DATEDIF(TODAY(),E115,"M")+1)),"")</x:f>
      </x:c>
      <x:c r="K115" s="18" t="str">
        <x:f>IFERROR(IF(OR(H115&lt;&gt;"Sí",D115&lt;=0,J115=""),"",MAX(0,D115-I115)/J115),"")</x:f>
      </x:c>
      <x:c r="L115" s="12"/>
      <x:c r="M115" s="12"/>
      <x:c r="N115" s="12"/>
    </x:row>
    <x:row r="116">
      <x:c r="A116" s="12"/>
      <x:c r="B116" s="12"/>
      <x:c r="C116" s="12"/>
      <x:c r="D116" s="18"/>
      <x:c r="E116" s="12"/>
      <x:c r="F116" s="12"/>
      <x:c r="G116" s="12"/>
      <x:c r="H116" s="12"/>
      <x:c r="I116" s="18"/>
      <x:c r="J116" s="18" t="str">
        <x:f>IFERROR(IF(OR(E116="",H116&lt;&gt;"Sí"),"",MAX(1,DATEDIF(TODAY(),E116,"M")+1)),"")</x:f>
      </x:c>
      <x:c r="K116" s="18" t="str">
        <x:f>IFERROR(IF(OR(H116&lt;&gt;"Sí",D116&lt;=0,J116=""),"",MAX(0,D116-I116)/J116),"")</x:f>
      </x:c>
      <x:c r="L116" s="12"/>
      <x:c r="M116" s="12"/>
      <x:c r="N116" s="12"/>
    </x:row>
    <x:row r="117">
      <x:c r="A117" s="12"/>
      <x:c r="B117" s="12"/>
      <x:c r="C117" s="12"/>
      <x:c r="D117" s="18"/>
      <x:c r="E117" s="12"/>
      <x:c r="F117" s="12"/>
      <x:c r="G117" s="12"/>
      <x:c r="H117" s="12"/>
      <x:c r="I117" s="18"/>
      <x:c r="J117" s="18" t="str">
        <x:f>IFERROR(IF(OR(E117="",H117&lt;&gt;"Sí"),"",MAX(1,DATEDIF(TODAY(),E117,"M")+1)),"")</x:f>
      </x:c>
      <x:c r="K117" s="18" t="str">
        <x:f>IFERROR(IF(OR(H117&lt;&gt;"Sí",D117&lt;=0,J117=""),"",MAX(0,D117-I117)/J117),"")</x:f>
      </x:c>
      <x:c r="L117" s="12"/>
      <x:c r="M117" s="12"/>
      <x:c r="N117" s="12"/>
    </x:row>
    <x:row r="118">
      <x:c r="A118" s="12"/>
      <x:c r="B118" s="12"/>
      <x:c r="C118" s="12"/>
      <x:c r="D118" s="18"/>
      <x:c r="E118" s="12"/>
      <x:c r="F118" s="12"/>
      <x:c r="G118" s="12"/>
      <x:c r="H118" s="12"/>
      <x:c r="I118" s="18"/>
      <x:c r="J118" s="18" t="str">
        <x:f>IFERROR(IF(OR(E118="",H118&lt;&gt;"Sí"),"",MAX(1,DATEDIF(TODAY(),E118,"M")+1)),"")</x:f>
      </x:c>
      <x:c r="K118" s="18" t="str">
        <x:f>IFERROR(IF(OR(H118&lt;&gt;"Sí",D118&lt;=0,J118=""),"",MAX(0,D118-I118)/J118),"")</x:f>
      </x:c>
      <x:c r="L118" s="12"/>
      <x:c r="M118" s="12"/>
      <x:c r="N118" s="12"/>
    </x:row>
    <x:row r="119">
      <x:c r="A119" s="12"/>
      <x:c r="B119" s="12"/>
      <x:c r="C119" s="12"/>
      <x:c r="D119" s="18"/>
      <x:c r="E119" s="12"/>
      <x:c r="F119" s="12"/>
      <x:c r="G119" s="12"/>
      <x:c r="H119" s="12"/>
      <x:c r="I119" s="18"/>
      <x:c r="J119" s="18" t="str">
        <x:f>IFERROR(IF(OR(E119="",H119&lt;&gt;"Sí"),"",MAX(1,DATEDIF(TODAY(),E119,"M")+1)),"")</x:f>
      </x:c>
      <x:c r="K119" s="18" t="str">
        <x:f>IFERROR(IF(OR(H119&lt;&gt;"Sí",D119&lt;=0,J119=""),"",MAX(0,D119-I119)/J119),"")</x:f>
      </x:c>
      <x:c r="L119" s="12"/>
      <x:c r="M119" s="12"/>
      <x:c r="N119" s="12"/>
    </x:row>
    <x:row r="120">
      <x:c r="A120" s="12"/>
      <x:c r="B120" s="12"/>
      <x:c r="C120" s="12"/>
      <x:c r="D120" s="18"/>
      <x:c r="E120" s="12"/>
      <x:c r="F120" s="12"/>
      <x:c r="G120" s="12"/>
      <x:c r="H120" s="12"/>
      <x:c r="I120" s="18"/>
      <x:c r="J120" s="18" t="str">
        <x:f>IFERROR(IF(OR(E120="",H120&lt;&gt;"Sí"),"",MAX(1,DATEDIF(TODAY(),E120,"M")+1)),"")</x:f>
      </x:c>
      <x:c r="K120" s="18" t="str">
        <x:f>IFERROR(IF(OR(H120&lt;&gt;"Sí",D120&lt;=0,J120=""),"",MAX(0,D120-I120)/J120),"")</x:f>
      </x:c>
      <x:c r="L120" s="12"/>
      <x:c r="M120" s="12"/>
      <x:c r="N120" s="12"/>
    </x:row>
    <x:row r="121">
      <x:c r="A121" s="12"/>
      <x:c r="B121" s="12"/>
      <x:c r="C121" s="12"/>
      <x:c r="D121" s="18"/>
      <x:c r="E121" s="12"/>
      <x:c r="F121" s="12"/>
      <x:c r="G121" s="12"/>
      <x:c r="H121" s="12"/>
      <x:c r="I121" s="18"/>
      <x:c r="J121" s="18" t="str">
        <x:f>IFERROR(IF(OR(E121="",H121&lt;&gt;"Sí"),"",MAX(1,DATEDIF(TODAY(),E121,"M")+1)),"")</x:f>
      </x:c>
      <x:c r="K121" s="18" t="str">
        <x:f>IFERROR(IF(OR(H121&lt;&gt;"Sí",D121&lt;=0,J121=""),"",MAX(0,D121-I121)/J121),"")</x:f>
      </x:c>
      <x:c r="L121" s="12"/>
      <x:c r="M121" s="12"/>
      <x:c r="N121" s="12"/>
    </x:row>
    <x:row r="122">
      <x:c r="A122" s="12"/>
      <x:c r="B122" s="12"/>
      <x:c r="C122" s="12"/>
      <x:c r="D122" s="18"/>
      <x:c r="E122" s="12"/>
      <x:c r="F122" s="12"/>
      <x:c r="G122" s="12"/>
      <x:c r="H122" s="12"/>
      <x:c r="I122" s="18"/>
      <x:c r="J122" s="18" t="str">
        <x:f>IFERROR(IF(OR(E122="",H122&lt;&gt;"Sí"),"",MAX(1,DATEDIF(TODAY(),E122,"M")+1)),"")</x:f>
      </x:c>
      <x:c r="K122" s="18" t="str">
        <x:f>IFERROR(IF(OR(H122&lt;&gt;"Sí",D122&lt;=0,J122=""),"",MAX(0,D122-I122)/J122),"")</x:f>
      </x:c>
      <x:c r="L122" s="12"/>
      <x:c r="M122" s="12"/>
      <x:c r="N122" s="12"/>
    </x:row>
    <x:row r="123">
      <x:c r="A123" s="12"/>
      <x:c r="B123" s="12"/>
      <x:c r="C123" s="12"/>
      <x:c r="D123" s="18"/>
      <x:c r="E123" s="12"/>
      <x:c r="F123" s="12"/>
      <x:c r="G123" s="12"/>
      <x:c r="H123" s="12"/>
      <x:c r="I123" s="18"/>
      <x:c r="J123" s="18" t="str">
        <x:f>IFERROR(IF(OR(E123="",H123&lt;&gt;"Sí"),"",MAX(1,DATEDIF(TODAY(),E123,"M")+1)),"")</x:f>
      </x:c>
      <x:c r="K123" s="18" t="str">
        <x:f>IFERROR(IF(OR(H123&lt;&gt;"Sí",D123&lt;=0,J123=""),"",MAX(0,D123-I123)/J123),"")</x:f>
      </x:c>
      <x:c r="L123" s="12"/>
      <x:c r="M123" s="12"/>
      <x:c r="N123" s="12"/>
    </x:row>
    <x:row r="124">
      <x:c r="A124" s="12"/>
      <x:c r="B124" s="12"/>
      <x:c r="C124" s="12"/>
      <x:c r="D124" s="18"/>
      <x:c r="E124" s="12"/>
      <x:c r="F124" s="12"/>
      <x:c r="G124" s="12"/>
      <x:c r="H124" s="12"/>
      <x:c r="I124" s="18"/>
      <x:c r="J124" s="18" t="str">
        <x:f>IFERROR(IF(OR(E124="",H124&lt;&gt;"Sí"),"",MAX(1,DATEDIF(TODAY(),E124,"M")+1)),"")</x:f>
      </x:c>
      <x:c r="K124" s="18" t="str">
        <x:f>IFERROR(IF(OR(H124&lt;&gt;"Sí",D124&lt;=0,J124=""),"",MAX(0,D124-I124)/J124),"")</x:f>
      </x:c>
      <x:c r="L124" s="12"/>
      <x:c r="M124" s="12"/>
      <x:c r="N124" s="12"/>
    </x:row>
    <x:row r="125">
      <x:c r="A125" s="12"/>
      <x:c r="B125" s="12"/>
      <x:c r="C125" s="12"/>
      <x:c r="D125" s="18"/>
      <x:c r="E125" s="12"/>
      <x:c r="F125" s="12"/>
      <x:c r="G125" s="12"/>
      <x:c r="H125" s="12"/>
      <x:c r="I125" s="18"/>
      <x:c r="J125" s="18" t="str">
        <x:f>IFERROR(IF(OR(E125="",H125&lt;&gt;"Sí"),"",MAX(1,DATEDIF(TODAY(),E125,"M")+1)),"")</x:f>
      </x:c>
      <x:c r="K125" s="18" t="str">
        <x:f>IFERROR(IF(OR(H125&lt;&gt;"Sí",D125&lt;=0,J125=""),"",MAX(0,D125-I125)/J125),"")</x:f>
      </x:c>
      <x:c r="L125" s="12"/>
      <x:c r="M125" s="12"/>
      <x:c r="N125" s="12"/>
    </x:row>
    <x:row r="126">
      <x:c r="A126" s="12"/>
      <x:c r="B126" s="12"/>
      <x:c r="C126" s="12"/>
      <x:c r="D126" s="18"/>
      <x:c r="E126" s="12"/>
      <x:c r="F126" s="12"/>
      <x:c r="G126" s="12"/>
      <x:c r="H126" s="12"/>
      <x:c r="I126" s="18"/>
      <x:c r="J126" s="18" t="str">
        <x:f>IFERROR(IF(OR(E126="",H126&lt;&gt;"Sí"),"",MAX(1,DATEDIF(TODAY(),E126,"M")+1)),"")</x:f>
      </x:c>
      <x:c r="K126" s="18" t="str">
        <x:f>IFERROR(IF(OR(H126&lt;&gt;"Sí",D126&lt;=0,J126=""),"",MAX(0,D126-I126)/J126),"")</x:f>
      </x:c>
      <x:c r="L126" s="12"/>
      <x:c r="M126" s="12"/>
      <x:c r="N126" s="12"/>
    </x:row>
    <x:row r="127">
      <x:c r="A127" s="12"/>
      <x:c r="B127" s="12"/>
      <x:c r="C127" s="12"/>
      <x:c r="D127" s="18"/>
      <x:c r="E127" s="12"/>
      <x:c r="F127" s="12"/>
      <x:c r="G127" s="12"/>
      <x:c r="H127" s="12"/>
      <x:c r="I127" s="18"/>
      <x:c r="J127" s="18" t="str">
        <x:f>IFERROR(IF(OR(E127="",H127&lt;&gt;"Sí"),"",MAX(1,DATEDIF(TODAY(),E127,"M")+1)),"")</x:f>
      </x:c>
      <x:c r="K127" s="18" t="str">
        <x:f>IFERROR(IF(OR(H127&lt;&gt;"Sí",D127&lt;=0,J127=""),"",MAX(0,D127-I127)/J127),"")</x:f>
      </x:c>
      <x:c r="L127" s="12"/>
      <x:c r="M127" s="12"/>
      <x:c r="N127" s="12"/>
    </x:row>
    <x:row r="128">
      <x:c r="A128" s="12"/>
      <x:c r="B128" s="12"/>
      <x:c r="C128" s="12"/>
      <x:c r="D128" s="18"/>
      <x:c r="E128" s="12"/>
      <x:c r="F128" s="12"/>
      <x:c r="G128" s="12"/>
      <x:c r="H128" s="12"/>
      <x:c r="I128" s="18"/>
      <x:c r="J128" s="18" t="str">
        <x:f>IFERROR(IF(OR(E128="",H128&lt;&gt;"Sí"),"",MAX(1,DATEDIF(TODAY(),E128,"M")+1)),"")</x:f>
      </x:c>
      <x:c r="K128" s="18" t="str">
        <x:f>IFERROR(IF(OR(H128&lt;&gt;"Sí",D128&lt;=0,J128=""),"",MAX(0,D128-I128)/J128),"")</x:f>
      </x:c>
      <x:c r="L128" s="12"/>
      <x:c r="M128" s="12"/>
      <x:c r="N128" s="12"/>
    </x:row>
    <x:row r="129">
      <x:c r="A129" s="12"/>
      <x:c r="B129" s="12"/>
      <x:c r="C129" s="12"/>
      <x:c r="D129" s="18"/>
      <x:c r="E129" s="12"/>
      <x:c r="F129" s="12"/>
      <x:c r="G129" s="12"/>
      <x:c r="H129" s="12"/>
      <x:c r="I129" s="18"/>
      <x:c r="J129" s="18" t="str">
        <x:f>IFERROR(IF(OR(E129="",H129&lt;&gt;"Sí"),"",MAX(1,DATEDIF(TODAY(),E129,"M")+1)),"")</x:f>
      </x:c>
      <x:c r="K129" s="18" t="str">
        <x:f>IFERROR(IF(OR(H129&lt;&gt;"Sí",D129&lt;=0,J129=""),"",MAX(0,D129-I129)/J129),"")</x:f>
      </x:c>
      <x:c r="L129" s="12"/>
      <x:c r="M129" s="12"/>
      <x:c r="N129" s="12"/>
    </x:row>
    <x:row r="130">
      <x:c r="A130" s="12"/>
      <x:c r="B130" s="12"/>
      <x:c r="C130" s="12"/>
      <x:c r="D130" s="18"/>
      <x:c r="E130" s="12"/>
      <x:c r="F130" s="12"/>
      <x:c r="G130" s="12"/>
      <x:c r="H130" s="12"/>
      <x:c r="I130" s="18"/>
      <x:c r="J130" s="18" t="str">
        <x:f>IFERROR(IF(OR(E130="",H130&lt;&gt;"Sí"),"",MAX(1,DATEDIF(TODAY(),E130,"M")+1)),"")</x:f>
      </x:c>
      <x:c r="K130" s="18" t="str">
        <x:f>IFERROR(IF(OR(H130&lt;&gt;"Sí",D130&lt;=0,J130=""),"",MAX(0,D130-I130)/J130),"")</x:f>
      </x:c>
      <x:c r="L130" s="12"/>
      <x:c r="M130" s="12"/>
      <x:c r="N130" s="12"/>
    </x:row>
    <x:row r="131">
      <x:c r="A131" s="12"/>
      <x:c r="B131" s="12"/>
      <x:c r="C131" s="12"/>
      <x:c r="D131" s="18"/>
      <x:c r="E131" s="12"/>
      <x:c r="F131" s="12"/>
      <x:c r="G131" s="12"/>
      <x:c r="H131" s="12"/>
      <x:c r="I131" s="18"/>
      <x:c r="J131" s="18" t="str">
        <x:f>IFERROR(IF(OR(E131="",H131&lt;&gt;"Sí"),"",MAX(1,DATEDIF(TODAY(),E131,"M")+1)),"")</x:f>
      </x:c>
      <x:c r="K131" s="18" t="str">
        <x:f>IFERROR(IF(OR(H131&lt;&gt;"Sí",D131&lt;=0,J131=""),"",MAX(0,D131-I131)/J131),"")</x:f>
      </x:c>
      <x:c r="L131" s="12"/>
      <x:c r="M131" s="12"/>
      <x:c r="N131" s="12"/>
    </x:row>
    <x:row r="132">
      <x:c r="A132" s="12"/>
      <x:c r="B132" s="12"/>
      <x:c r="C132" s="12"/>
      <x:c r="D132" s="18"/>
      <x:c r="E132" s="12"/>
      <x:c r="F132" s="12"/>
      <x:c r="G132" s="12"/>
      <x:c r="H132" s="12"/>
      <x:c r="I132" s="18"/>
      <x:c r="J132" s="18" t="str">
        <x:f>IFERROR(IF(OR(E132="",H132&lt;&gt;"Sí"),"",MAX(1,DATEDIF(TODAY(),E132,"M")+1)),"")</x:f>
      </x:c>
      <x:c r="K132" s="18" t="str">
        <x:f>IFERROR(IF(OR(H132&lt;&gt;"Sí",D132&lt;=0,J132=""),"",MAX(0,D132-I132)/J132),"")</x:f>
      </x:c>
      <x:c r="L132" s="12"/>
      <x:c r="M132" s="12"/>
      <x:c r="N132" s="12"/>
    </x:row>
    <x:row r="133">
      <x:c r="A133" s="12"/>
      <x:c r="B133" s="12"/>
      <x:c r="C133" s="12"/>
      <x:c r="D133" s="18"/>
      <x:c r="E133" s="12"/>
      <x:c r="F133" s="12"/>
      <x:c r="G133" s="12"/>
      <x:c r="H133" s="12"/>
      <x:c r="I133" s="18"/>
      <x:c r="J133" s="18" t="str">
        <x:f>IFERROR(IF(OR(E133="",H133&lt;&gt;"Sí"),"",MAX(1,DATEDIF(TODAY(),E133,"M")+1)),"")</x:f>
      </x:c>
      <x:c r="K133" s="18" t="str">
        <x:f>IFERROR(IF(OR(H133&lt;&gt;"Sí",D133&lt;=0,J133=""),"",MAX(0,D133-I133)/J133),"")</x:f>
      </x:c>
      <x:c r="L133" s="12"/>
      <x:c r="M133" s="12"/>
      <x:c r="N133" s="12"/>
    </x:row>
    <x:row r="134">
      <x:c r="A134" s="12"/>
      <x:c r="B134" s="12"/>
      <x:c r="C134" s="12"/>
      <x:c r="D134" s="18"/>
      <x:c r="E134" s="12"/>
      <x:c r="F134" s="12"/>
      <x:c r="G134" s="12"/>
      <x:c r="H134" s="12"/>
      <x:c r="I134" s="18"/>
      <x:c r="J134" s="18" t="str">
        <x:f>IFERROR(IF(OR(E134="",H134&lt;&gt;"Sí"),"",MAX(1,DATEDIF(TODAY(),E134,"M")+1)),"")</x:f>
      </x:c>
      <x:c r="K134" s="18" t="str">
        <x:f>IFERROR(IF(OR(H134&lt;&gt;"Sí",D134&lt;=0,J134=""),"",MAX(0,D134-I134)/J134),"")</x:f>
      </x:c>
      <x:c r="L134" s="12"/>
      <x:c r="M134" s="12"/>
      <x:c r="N134" s="12"/>
    </x:row>
    <x:row r="135">
      <x:c r="A135" s="12"/>
      <x:c r="B135" s="12"/>
      <x:c r="C135" s="12"/>
      <x:c r="D135" s="18"/>
      <x:c r="E135" s="12"/>
      <x:c r="F135" s="12"/>
      <x:c r="G135" s="12"/>
      <x:c r="H135" s="12"/>
      <x:c r="I135" s="18"/>
      <x:c r="J135" s="18" t="str">
        <x:f>IFERROR(IF(OR(E135="",H135&lt;&gt;"Sí"),"",MAX(1,DATEDIF(TODAY(),E135,"M")+1)),"")</x:f>
      </x:c>
      <x:c r="K135" s="18" t="str">
        <x:f>IFERROR(IF(OR(H135&lt;&gt;"Sí",D135&lt;=0,J135=""),"",MAX(0,D135-I135)/J135),"")</x:f>
      </x:c>
      <x:c r="L135" s="12"/>
      <x:c r="M135" s="12"/>
      <x:c r="N135" s="12"/>
    </x:row>
    <x:row r="136">
      <x:c r="A136" s="12"/>
      <x:c r="B136" s="12"/>
      <x:c r="C136" s="12"/>
      <x:c r="D136" s="18"/>
      <x:c r="E136" s="12"/>
      <x:c r="F136" s="12"/>
      <x:c r="G136" s="12"/>
      <x:c r="H136" s="12"/>
      <x:c r="I136" s="18"/>
      <x:c r="J136" s="18" t="str">
        <x:f>IFERROR(IF(OR(E136="",H136&lt;&gt;"Sí"),"",MAX(1,DATEDIF(TODAY(),E136,"M")+1)),"")</x:f>
      </x:c>
      <x:c r="K136" s="18" t="str">
        <x:f>IFERROR(IF(OR(H136&lt;&gt;"Sí",D136&lt;=0,J136=""),"",MAX(0,D136-I136)/J136),"")</x:f>
      </x:c>
      <x:c r="L136" s="12"/>
      <x:c r="M136" s="12"/>
      <x:c r="N136" s="12"/>
    </x:row>
    <x:row r="137">
      <x:c r="A137" s="12"/>
      <x:c r="B137" s="12"/>
      <x:c r="C137" s="12"/>
      <x:c r="D137" s="18"/>
      <x:c r="E137" s="12"/>
      <x:c r="F137" s="12"/>
      <x:c r="G137" s="12"/>
      <x:c r="H137" s="12"/>
      <x:c r="I137" s="18"/>
      <x:c r="J137" s="18" t="str">
        <x:f>IFERROR(IF(OR(E137="",H137&lt;&gt;"Sí"),"",MAX(1,DATEDIF(TODAY(),E137,"M")+1)),"")</x:f>
      </x:c>
      <x:c r="K137" s="18" t="str">
        <x:f>IFERROR(IF(OR(H137&lt;&gt;"Sí",D137&lt;=0,J137=""),"",MAX(0,D137-I137)/J137),"")</x:f>
      </x:c>
      <x:c r="L137" s="12"/>
      <x:c r="M137" s="12"/>
      <x:c r="N137" s="12"/>
    </x:row>
    <x:row r="138">
      <x:c r="A138" s="12"/>
      <x:c r="B138" s="12"/>
      <x:c r="C138" s="12"/>
      <x:c r="D138" s="18"/>
      <x:c r="E138" s="12"/>
      <x:c r="F138" s="12"/>
      <x:c r="G138" s="12"/>
      <x:c r="H138" s="12"/>
      <x:c r="I138" s="18"/>
      <x:c r="J138" s="18" t="str">
        <x:f>IFERROR(IF(OR(E138="",H138&lt;&gt;"Sí"),"",MAX(1,DATEDIF(TODAY(),E138,"M")+1)),"")</x:f>
      </x:c>
      <x:c r="K138" s="18" t="str">
        <x:f>IFERROR(IF(OR(H138&lt;&gt;"Sí",D138&lt;=0,J138=""),"",MAX(0,D138-I138)/J138),"")</x:f>
      </x:c>
      <x:c r="L138" s="12"/>
      <x:c r="M138" s="12"/>
      <x:c r="N138" s="12"/>
    </x:row>
    <x:row r="139">
      <x:c r="A139" s="12"/>
      <x:c r="B139" s="12"/>
      <x:c r="C139" s="12"/>
      <x:c r="D139" s="18"/>
      <x:c r="E139" s="12"/>
      <x:c r="F139" s="12"/>
      <x:c r="G139" s="12"/>
      <x:c r="H139" s="12"/>
      <x:c r="I139" s="18"/>
      <x:c r="J139" s="18" t="str">
        <x:f>IFERROR(IF(OR(E139="",H139&lt;&gt;"Sí"),"",MAX(1,DATEDIF(TODAY(),E139,"M")+1)),"")</x:f>
      </x:c>
      <x:c r="K139" s="18" t="str">
        <x:f>IFERROR(IF(OR(H139&lt;&gt;"Sí",D139&lt;=0,J139=""),"",MAX(0,D139-I139)/J139),"")</x:f>
      </x:c>
      <x:c r="L139" s="12"/>
      <x:c r="M139" s="12"/>
      <x:c r="N139" s="12"/>
    </x:row>
    <x:row r="140">
      <x:c r="A140" s="12"/>
      <x:c r="B140" s="12"/>
      <x:c r="C140" s="12"/>
      <x:c r="D140" s="18"/>
      <x:c r="E140" s="12"/>
      <x:c r="F140" s="12"/>
      <x:c r="G140" s="12"/>
      <x:c r="H140" s="12"/>
      <x:c r="I140" s="18"/>
      <x:c r="J140" s="18" t="str">
        <x:f>IFERROR(IF(OR(E140="",H140&lt;&gt;"Sí"),"",MAX(1,DATEDIF(TODAY(),E140,"M")+1)),"")</x:f>
      </x:c>
      <x:c r="K140" s="18" t="str">
        <x:f>IFERROR(IF(OR(H140&lt;&gt;"Sí",D140&lt;=0,J140=""),"",MAX(0,D140-I140)/J140),"")</x:f>
      </x:c>
      <x:c r="L140" s="12"/>
      <x:c r="M140" s="12"/>
      <x:c r="N140" s="12"/>
    </x:row>
    <x:row r="141">
      <x:c r="A141" s="12"/>
      <x:c r="B141" s="12"/>
      <x:c r="C141" s="12"/>
      <x:c r="D141" s="18"/>
      <x:c r="E141" s="12"/>
      <x:c r="F141" s="12"/>
      <x:c r="G141" s="12"/>
      <x:c r="H141" s="12"/>
      <x:c r="I141" s="18"/>
      <x:c r="J141" s="18" t="str">
        <x:f>IFERROR(IF(OR(E141="",H141&lt;&gt;"Sí"),"",MAX(1,DATEDIF(TODAY(),E141,"M")+1)),"")</x:f>
      </x:c>
      <x:c r="K141" s="18" t="str">
        <x:f>IFERROR(IF(OR(H141&lt;&gt;"Sí",D141&lt;=0,J141=""),"",MAX(0,D141-I141)/J141),"")</x:f>
      </x:c>
      <x:c r="L141" s="12"/>
      <x:c r="M141" s="12"/>
      <x:c r="N141" s="12"/>
    </x:row>
    <x:row r="142">
      <x:c r="A142" s="12"/>
      <x:c r="B142" s="12"/>
      <x:c r="C142" s="12"/>
      <x:c r="D142" s="18"/>
      <x:c r="E142" s="12"/>
      <x:c r="F142" s="12"/>
      <x:c r="G142" s="12"/>
      <x:c r="H142" s="12"/>
      <x:c r="I142" s="18"/>
      <x:c r="J142" s="18" t="str">
        <x:f>IFERROR(IF(OR(E142="",H142&lt;&gt;"Sí"),"",MAX(1,DATEDIF(TODAY(),E142,"M")+1)),"")</x:f>
      </x:c>
      <x:c r="K142" s="18" t="str">
        <x:f>IFERROR(IF(OR(H142&lt;&gt;"Sí",D142&lt;=0,J142=""),"",MAX(0,D142-I142)/J142),"")</x:f>
      </x:c>
      <x:c r="L142" s="12"/>
      <x:c r="M142" s="12"/>
      <x:c r="N142" s="12"/>
    </x:row>
    <x:row r="143">
      <x:c r="A143" s="12"/>
      <x:c r="B143" s="12"/>
      <x:c r="C143" s="12"/>
      <x:c r="D143" s="18"/>
      <x:c r="E143" s="12"/>
      <x:c r="F143" s="12"/>
      <x:c r="G143" s="12"/>
      <x:c r="H143" s="12"/>
      <x:c r="I143" s="18"/>
      <x:c r="J143" s="18" t="str">
        <x:f>IFERROR(IF(OR(E143="",H143&lt;&gt;"Sí"),"",MAX(1,DATEDIF(TODAY(),E143,"M")+1)),"")</x:f>
      </x:c>
      <x:c r="K143" s="18" t="str">
        <x:f>IFERROR(IF(OR(H143&lt;&gt;"Sí",D143&lt;=0,J143=""),"",MAX(0,D143-I143)/J143),"")</x:f>
      </x:c>
      <x:c r="L143" s="12"/>
      <x:c r="M143" s="12"/>
      <x:c r="N143" s="12"/>
    </x:row>
    <x:row r="144">
      <x:c r="A144" s="12"/>
      <x:c r="B144" s="12"/>
      <x:c r="C144" s="12"/>
      <x:c r="D144" s="18"/>
      <x:c r="E144" s="12"/>
      <x:c r="F144" s="12"/>
      <x:c r="G144" s="12"/>
      <x:c r="H144" s="12"/>
      <x:c r="I144" s="18"/>
      <x:c r="J144" s="18" t="str">
        <x:f>IFERROR(IF(OR(E144="",H144&lt;&gt;"Sí"),"",MAX(1,DATEDIF(TODAY(),E144,"M")+1)),"")</x:f>
      </x:c>
      <x:c r="K144" s="18" t="str">
        <x:f>IFERROR(IF(OR(H144&lt;&gt;"Sí",D144&lt;=0,J144=""),"",MAX(0,D144-I144)/J144),"")</x:f>
      </x:c>
      <x:c r="L144" s="12"/>
      <x:c r="M144" s="12"/>
      <x:c r="N144" s="12"/>
    </x:row>
    <x:row r="145">
      <x:c r="A145" s="12"/>
      <x:c r="B145" s="12"/>
      <x:c r="C145" s="12"/>
      <x:c r="D145" s="18"/>
      <x:c r="E145" s="12"/>
      <x:c r="F145" s="12"/>
      <x:c r="G145" s="12"/>
      <x:c r="H145" s="12"/>
      <x:c r="I145" s="18"/>
      <x:c r="J145" s="18" t="str">
        <x:f>IFERROR(IF(OR(E145="",H145&lt;&gt;"Sí"),"",MAX(1,DATEDIF(TODAY(),E145,"M")+1)),"")</x:f>
      </x:c>
      <x:c r="K145" s="18" t="str">
        <x:f>IFERROR(IF(OR(H145&lt;&gt;"Sí",D145&lt;=0,J145=""),"",MAX(0,D145-I145)/J145),"")</x:f>
      </x:c>
      <x:c r="L145" s="12"/>
      <x:c r="M145" s="12"/>
      <x:c r="N145" s="12"/>
    </x:row>
    <x:row r="146">
      <x:c r="A146" s="12"/>
      <x:c r="B146" s="12"/>
      <x:c r="C146" s="12"/>
      <x:c r="D146" s="18"/>
      <x:c r="E146" s="12"/>
      <x:c r="F146" s="12"/>
      <x:c r="G146" s="12"/>
      <x:c r="H146" s="12"/>
      <x:c r="I146" s="18"/>
      <x:c r="J146" s="18" t="str">
        <x:f>IFERROR(IF(OR(E146="",H146&lt;&gt;"Sí"),"",MAX(1,DATEDIF(TODAY(),E146,"M")+1)),"")</x:f>
      </x:c>
      <x:c r="K146" s="18" t="str">
        <x:f>IFERROR(IF(OR(H146&lt;&gt;"Sí",D146&lt;=0,J146=""),"",MAX(0,D146-I146)/J146),"")</x:f>
      </x:c>
      <x:c r="L146" s="12"/>
      <x:c r="M146" s="12"/>
      <x:c r="N146" s="12"/>
    </x:row>
    <x:row r="147">
      <x:c r="A147" s="12"/>
      <x:c r="B147" s="12"/>
      <x:c r="C147" s="12"/>
      <x:c r="D147" s="18"/>
      <x:c r="E147" s="12"/>
      <x:c r="F147" s="12"/>
      <x:c r="G147" s="12"/>
      <x:c r="H147" s="12"/>
      <x:c r="I147" s="18"/>
      <x:c r="J147" s="18" t="str">
        <x:f>IFERROR(IF(OR(E147="",H147&lt;&gt;"Sí"),"",MAX(1,DATEDIF(TODAY(),E147,"M")+1)),"")</x:f>
      </x:c>
      <x:c r="K147" s="18" t="str">
        <x:f>IFERROR(IF(OR(H147&lt;&gt;"Sí",D147&lt;=0,J147=""),"",MAX(0,D147-I147)/J147),"")</x:f>
      </x:c>
      <x:c r="L147" s="12"/>
      <x:c r="M147" s="12"/>
      <x:c r="N147" s="12"/>
    </x:row>
    <x:row r="148">
      <x:c r="A148" s="12"/>
      <x:c r="B148" s="12"/>
      <x:c r="C148" s="12"/>
      <x:c r="D148" s="18"/>
      <x:c r="E148" s="12"/>
      <x:c r="F148" s="12"/>
      <x:c r="G148" s="12"/>
      <x:c r="H148" s="12"/>
      <x:c r="I148" s="18"/>
      <x:c r="J148" s="18" t="str">
        <x:f>IFERROR(IF(OR(E148="",H148&lt;&gt;"Sí"),"",MAX(1,DATEDIF(TODAY(),E148,"M")+1)),"")</x:f>
      </x:c>
      <x:c r="K148" s="18" t="str">
        <x:f>IFERROR(IF(OR(H148&lt;&gt;"Sí",D148&lt;=0,J148=""),"",MAX(0,D148-I148)/J148),"")</x:f>
      </x:c>
      <x:c r="L148" s="12"/>
      <x:c r="M148" s="12"/>
      <x:c r="N148" s="12"/>
    </x:row>
    <x:row r="149">
      <x:c r="A149" s="12"/>
      <x:c r="B149" s="12"/>
      <x:c r="C149" s="12"/>
      <x:c r="D149" s="18"/>
      <x:c r="E149" s="12"/>
      <x:c r="F149" s="12"/>
      <x:c r="G149" s="12"/>
      <x:c r="H149" s="12"/>
      <x:c r="I149" s="18"/>
      <x:c r="J149" s="18" t="str">
        <x:f>IFERROR(IF(OR(E149="",H149&lt;&gt;"Sí"),"",MAX(1,DATEDIF(TODAY(),E149,"M")+1)),"")</x:f>
      </x:c>
      <x:c r="K149" s="18" t="str">
        <x:f>IFERROR(IF(OR(H149&lt;&gt;"Sí",D149&lt;=0,J149=""),"",MAX(0,D149-I149)/J149),"")</x:f>
      </x:c>
      <x:c r="L149" s="12"/>
      <x:c r="M149" s="12"/>
      <x:c r="N149" s="12"/>
    </x:row>
    <x:row r="150">
      <x:c r="A150" s="12"/>
      <x:c r="B150" s="12"/>
      <x:c r="C150" s="12"/>
      <x:c r="D150" s="18"/>
      <x:c r="E150" s="12"/>
      <x:c r="F150" s="12"/>
      <x:c r="G150" s="12"/>
      <x:c r="H150" s="12"/>
      <x:c r="I150" s="18"/>
      <x:c r="J150" s="18" t="str">
        <x:f>IFERROR(IF(OR(E150="",H150&lt;&gt;"Sí"),"",MAX(1,DATEDIF(TODAY(),E150,"M")+1)),"")</x:f>
      </x:c>
      <x:c r="K150" s="18" t="str">
        <x:f>IFERROR(IF(OR(H150&lt;&gt;"Sí",D150&lt;=0,J150=""),"",MAX(0,D150-I150)/J150),"")</x:f>
      </x:c>
      <x:c r="L150" s="12"/>
      <x:c r="M150" s="12"/>
      <x:c r="N150" s="12"/>
    </x:row>
    <x:row r="151">
      <x:c r="A151" s="12"/>
      <x:c r="B151" s="12"/>
      <x:c r="C151" s="12"/>
      <x:c r="D151" s="18"/>
      <x:c r="E151" s="12"/>
      <x:c r="F151" s="12"/>
      <x:c r="G151" s="12"/>
      <x:c r="H151" s="12"/>
      <x:c r="I151" s="18"/>
      <x:c r="J151" s="18" t="str">
        <x:f>IFERROR(IF(OR(E151="",H151&lt;&gt;"Sí"),"",MAX(1,DATEDIF(TODAY(),E151,"M")+1)),"")</x:f>
      </x:c>
      <x:c r="K151" s="18" t="str">
        <x:f>IFERROR(IF(OR(H151&lt;&gt;"Sí",D151&lt;=0,J151=""),"",MAX(0,D151-I151)/J151),"")</x:f>
      </x:c>
      <x:c r="L151" s="12"/>
      <x:c r="M151" s="12"/>
      <x:c r="N151" s="12"/>
    </x:row>
    <x:row r="152">
      <x:c r="A152" s="12"/>
      <x:c r="B152" s="12"/>
      <x:c r="C152" s="12"/>
      <x:c r="D152" s="18"/>
      <x:c r="E152" s="12"/>
      <x:c r="F152" s="12"/>
      <x:c r="G152" s="12"/>
      <x:c r="H152" s="12"/>
      <x:c r="I152" s="18"/>
      <x:c r="J152" s="18" t="str">
        <x:f>IFERROR(IF(OR(E152="",H152&lt;&gt;"Sí"),"",MAX(1,DATEDIF(TODAY(),E152,"M")+1)),"")</x:f>
      </x:c>
      <x:c r="K152" s="18" t="str">
        <x:f>IFERROR(IF(OR(H152&lt;&gt;"Sí",D152&lt;=0,J152=""),"",MAX(0,D152-I152)/J152),"")</x:f>
      </x:c>
      <x:c r="L152" s="12"/>
      <x:c r="M152" s="12"/>
      <x:c r="N152" s="12"/>
    </x:row>
    <x:row r="153">
      <x:c r="A153" s="12"/>
      <x:c r="B153" s="12"/>
      <x:c r="C153" s="12"/>
      <x:c r="D153" s="18"/>
      <x:c r="E153" s="12"/>
      <x:c r="F153" s="12"/>
      <x:c r="G153" s="12"/>
      <x:c r="H153" s="12"/>
      <x:c r="I153" s="18"/>
      <x:c r="J153" s="18" t="str">
        <x:f>IFERROR(IF(OR(E153="",H153&lt;&gt;"Sí"),"",MAX(1,DATEDIF(TODAY(),E153,"M")+1)),"")</x:f>
      </x:c>
      <x:c r="K153" s="18" t="str">
        <x:f>IFERROR(IF(OR(H153&lt;&gt;"Sí",D153&lt;=0,J153=""),"",MAX(0,D153-I153)/J153),"")</x:f>
      </x:c>
      <x:c r="L153" s="12"/>
      <x:c r="M153" s="12"/>
      <x:c r="N153" s="12"/>
    </x:row>
    <x:row r="154">
      <x:c r="A154" s="12"/>
      <x:c r="B154" s="12"/>
      <x:c r="C154" s="12"/>
      <x:c r="D154" s="18"/>
      <x:c r="E154" s="12"/>
      <x:c r="F154" s="12"/>
      <x:c r="G154" s="12"/>
      <x:c r="H154" s="12"/>
      <x:c r="I154" s="18"/>
      <x:c r="J154" s="18" t="str">
        <x:f>IFERROR(IF(OR(E154="",H154&lt;&gt;"Sí"),"",MAX(1,DATEDIF(TODAY(),E154,"M")+1)),"")</x:f>
      </x:c>
      <x:c r="K154" s="18" t="str">
        <x:f>IFERROR(IF(OR(H154&lt;&gt;"Sí",D154&lt;=0,J154=""),"",MAX(0,D154-I154)/J154),"")</x:f>
      </x:c>
      <x:c r="L154" s="12"/>
      <x:c r="M154" s="12"/>
      <x:c r="N154" s="12"/>
    </x:row>
    <x:row r="155">
      <x:c r="A155" s="12"/>
      <x:c r="B155" s="12"/>
      <x:c r="C155" s="12"/>
      <x:c r="D155" s="18"/>
      <x:c r="E155" s="12"/>
      <x:c r="F155" s="12"/>
      <x:c r="G155" s="12"/>
      <x:c r="H155" s="12"/>
      <x:c r="I155" s="18"/>
      <x:c r="J155" s="18" t="str">
        <x:f>IFERROR(IF(OR(E155="",H155&lt;&gt;"Sí"),"",MAX(1,DATEDIF(TODAY(),E155,"M")+1)),"")</x:f>
      </x:c>
      <x:c r="K155" s="18" t="str">
        <x:f>IFERROR(IF(OR(H155&lt;&gt;"Sí",D155&lt;=0,J155=""),"",MAX(0,D155-I155)/J155),"")</x:f>
      </x:c>
      <x:c r="L155" s="12"/>
      <x:c r="M155" s="12"/>
      <x:c r="N155" s="12"/>
    </x:row>
    <x:row r="156">
      <x:c r="A156" s="12"/>
      <x:c r="B156" s="12"/>
      <x:c r="C156" s="12"/>
      <x:c r="D156" s="18"/>
      <x:c r="E156" s="12"/>
      <x:c r="F156" s="12"/>
      <x:c r="G156" s="12"/>
      <x:c r="H156" s="12"/>
      <x:c r="I156" s="18"/>
      <x:c r="J156" s="18" t="str">
        <x:f>IFERROR(IF(OR(E156="",H156&lt;&gt;"Sí"),"",MAX(1,DATEDIF(TODAY(),E156,"M")+1)),"")</x:f>
      </x:c>
      <x:c r="K156" s="18" t="str">
        <x:f>IFERROR(IF(OR(H156&lt;&gt;"Sí",D156&lt;=0,J156=""),"",MAX(0,D156-I156)/J156),"")</x:f>
      </x:c>
      <x:c r="L156" s="12"/>
      <x:c r="M156" s="12"/>
      <x:c r="N156" s="12"/>
    </x:row>
    <x:row r="157">
      <x:c r="A157" s="12"/>
      <x:c r="B157" s="12"/>
      <x:c r="C157" s="12"/>
      <x:c r="D157" s="18"/>
      <x:c r="E157" s="12"/>
      <x:c r="F157" s="12"/>
      <x:c r="G157" s="12"/>
      <x:c r="H157" s="12"/>
      <x:c r="I157" s="18"/>
      <x:c r="J157" s="18" t="str">
        <x:f>IFERROR(IF(OR(E157="",H157&lt;&gt;"Sí"),"",MAX(1,DATEDIF(TODAY(),E157,"M")+1)),"")</x:f>
      </x:c>
      <x:c r="K157" s="18" t="str">
        <x:f>IFERROR(IF(OR(H157&lt;&gt;"Sí",D157&lt;=0,J157=""),"",MAX(0,D157-I157)/J157),"")</x:f>
      </x:c>
      <x:c r="L157" s="12"/>
      <x:c r="M157" s="12"/>
      <x:c r="N157" s="12"/>
    </x:row>
    <x:row r="158">
      <x:c r="A158" s="12"/>
      <x:c r="B158" s="12"/>
      <x:c r="C158" s="12"/>
      <x:c r="D158" s="18"/>
      <x:c r="E158" s="12"/>
      <x:c r="F158" s="12"/>
      <x:c r="G158" s="12"/>
      <x:c r="H158" s="12"/>
      <x:c r="I158" s="18"/>
      <x:c r="J158" s="18" t="str">
        <x:f>IFERROR(IF(OR(E158="",H158&lt;&gt;"Sí"),"",MAX(1,DATEDIF(TODAY(),E158,"M")+1)),"")</x:f>
      </x:c>
      <x:c r="K158" s="18" t="str">
        <x:f>IFERROR(IF(OR(H158&lt;&gt;"Sí",D158&lt;=0,J158=""),"",MAX(0,D158-I158)/J158),"")</x:f>
      </x:c>
      <x:c r="L158" s="12"/>
      <x:c r="M158" s="12"/>
      <x:c r="N158" s="12"/>
    </x:row>
    <x:row r="159">
      <x:c r="A159" s="12"/>
      <x:c r="B159" s="12"/>
      <x:c r="C159" s="12"/>
      <x:c r="D159" s="18"/>
      <x:c r="E159" s="12"/>
      <x:c r="F159" s="12"/>
      <x:c r="G159" s="12"/>
      <x:c r="H159" s="12"/>
      <x:c r="I159" s="18"/>
      <x:c r="J159" s="18" t="str">
        <x:f>IFERROR(IF(OR(E159="",H159&lt;&gt;"Sí"),"",MAX(1,DATEDIF(TODAY(),E159,"M")+1)),"")</x:f>
      </x:c>
      <x:c r="K159" s="18" t="str">
        <x:f>IFERROR(IF(OR(H159&lt;&gt;"Sí",D159&lt;=0,J159=""),"",MAX(0,D159-I159)/J159),"")</x:f>
      </x:c>
      <x:c r="L159" s="12"/>
      <x:c r="M159" s="12"/>
      <x:c r="N159" s="12"/>
    </x:row>
    <x:row r="160">
      <x:c r="A160" s="12"/>
      <x:c r="B160" s="12"/>
      <x:c r="C160" s="12"/>
      <x:c r="D160" s="18"/>
      <x:c r="E160" s="12"/>
      <x:c r="F160" s="12"/>
      <x:c r="G160" s="12"/>
      <x:c r="H160" s="12"/>
      <x:c r="I160" s="18"/>
      <x:c r="J160" s="18" t="str">
        <x:f>IFERROR(IF(OR(E160="",H160&lt;&gt;"Sí"),"",MAX(1,DATEDIF(TODAY(),E160,"M")+1)),"")</x:f>
      </x:c>
      <x:c r="K160" s="18" t="str">
        <x:f>IFERROR(IF(OR(H160&lt;&gt;"Sí",D160&lt;=0,J160=""),"",MAX(0,D160-I160)/J160),"")</x:f>
      </x:c>
      <x:c r="L160" s="12"/>
      <x:c r="M160" s="12"/>
      <x:c r="N160" s="12"/>
    </x:row>
    <x:row r="161">
      <x:c r="A161" s="12"/>
      <x:c r="B161" s="12"/>
      <x:c r="C161" s="12"/>
      <x:c r="D161" s="18"/>
      <x:c r="E161" s="12"/>
      <x:c r="F161" s="12"/>
      <x:c r="G161" s="12"/>
      <x:c r="H161" s="12"/>
      <x:c r="I161" s="18"/>
      <x:c r="J161" s="18" t="str">
        <x:f>IFERROR(IF(OR(E161="",H161&lt;&gt;"Sí"),"",MAX(1,DATEDIF(TODAY(),E161,"M")+1)),"")</x:f>
      </x:c>
      <x:c r="K161" s="18" t="str">
        <x:f>IFERROR(IF(OR(H161&lt;&gt;"Sí",D161&lt;=0,J161=""),"",MAX(0,D161-I161)/J161),"")</x:f>
      </x:c>
      <x:c r="L161" s="12"/>
      <x:c r="M161" s="12"/>
      <x:c r="N161" s="12"/>
    </x:row>
    <x:row r="162">
      <x:c r="A162" s="12"/>
      <x:c r="B162" s="12"/>
      <x:c r="C162" s="12"/>
      <x:c r="D162" s="18"/>
      <x:c r="E162" s="12"/>
      <x:c r="F162" s="12"/>
      <x:c r="G162" s="12"/>
      <x:c r="H162" s="12"/>
      <x:c r="I162" s="18"/>
      <x:c r="J162" s="18" t="str">
        <x:f>IFERROR(IF(OR(E162="",H162&lt;&gt;"Sí"),"",MAX(1,DATEDIF(TODAY(),E162,"M")+1)),"")</x:f>
      </x:c>
      <x:c r="K162" s="18" t="str">
        <x:f>IFERROR(IF(OR(H162&lt;&gt;"Sí",D162&lt;=0,J162=""),"",MAX(0,D162-I162)/J162),"")</x:f>
      </x:c>
      <x:c r="L162" s="12"/>
      <x:c r="M162" s="12"/>
      <x:c r="N162" s="12"/>
    </x:row>
    <x:row r="163">
      <x:c r="A163" s="12"/>
      <x:c r="B163" s="12"/>
      <x:c r="C163" s="12"/>
      <x:c r="D163" s="18"/>
      <x:c r="E163" s="12"/>
      <x:c r="F163" s="12"/>
      <x:c r="G163" s="12"/>
      <x:c r="H163" s="12"/>
      <x:c r="I163" s="18"/>
      <x:c r="J163" s="18" t="str">
        <x:f>IFERROR(IF(OR(E163="",H163&lt;&gt;"Sí"),"",MAX(1,DATEDIF(TODAY(),E163,"M")+1)),"")</x:f>
      </x:c>
      <x:c r="K163" s="18" t="str">
        <x:f>IFERROR(IF(OR(H163&lt;&gt;"Sí",D163&lt;=0,J163=""),"",MAX(0,D163-I163)/J163),"")</x:f>
      </x:c>
      <x:c r="L163" s="12"/>
      <x:c r="M163" s="12"/>
      <x:c r="N163" s="12"/>
    </x:row>
    <x:row r="164">
      <x:c r="A164" s="12"/>
      <x:c r="B164" s="12"/>
      <x:c r="C164" s="12"/>
      <x:c r="D164" s="18"/>
      <x:c r="E164" s="12"/>
      <x:c r="F164" s="12"/>
      <x:c r="G164" s="12"/>
      <x:c r="H164" s="12"/>
      <x:c r="I164" s="18"/>
      <x:c r="J164" s="18" t="str">
        <x:f>IFERROR(IF(OR(E164="",H164&lt;&gt;"Sí"),"",MAX(1,DATEDIF(TODAY(),E164,"M")+1)),"")</x:f>
      </x:c>
      <x:c r="K164" s="18" t="str">
        <x:f>IFERROR(IF(OR(H164&lt;&gt;"Sí",D164&lt;=0,J164=""),"",MAX(0,D164-I164)/J164),"")</x:f>
      </x:c>
      <x:c r="L164" s="12"/>
      <x:c r="M164" s="12"/>
      <x:c r="N164" s="12"/>
    </x:row>
    <x:row r="165">
      <x:c r="A165" s="12"/>
      <x:c r="B165" s="12"/>
      <x:c r="C165" s="12"/>
      <x:c r="D165" s="18"/>
      <x:c r="E165" s="12"/>
      <x:c r="F165" s="12"/>
      <x:c r="G165" s="12"/>
      <x:c r="H165" s="12"/>
      <x:c r="I165" s="18"/>
      <x:c r="J165" s="18" t="str">
        <x:f>IFERROR(IF(OR(E165="",H165&lt;&gt;"Sí"),"",MAX(1,DATEDIF(TODAY(),E165,"M")+1)),"")</x:f>
      </x:c>
      <x:c r="K165" s="18" t="str">
        <x:f>IFERROR(IF(OR(H165&lt;&gt;"Sí",D165&lt;=0,J165=""),"",MAX(0,D165-I165)/J165),"")</x:f>
      </x:c>
      <x:c r="L165" s="12"/>
      <x:c r="M165" s="12"/>
      <x:c r="N165" s="12"/>
    </x:row>
    <x:row r="166">
      <x:c r="A166" s="12"/>
      <x:c r="B166" s="12"/>
      <x:c r="C166" s="12"/>
      <x:c r="D166" s="18"/>
      <x:c r="E166" s="12"/>
      <x:c r="F166" s="12"/>
      <x:c r="G166" s="12"/>
      <x:c r="H166" s="12"/>
      <x:c r="I166" s="18"/>
      <x:c r="J166" s="18" t="str">
        <x:f>IFERROR(IF(OR(E166="",H166&lt;&gt;"Sí"),"",MAX(1,DATEDIF(TODAY(),E166,"M")+1)),"")</x:f>
      </x:c>
      <x:c r="K166" s="18" t="str">
        <x:f>IFERROR(IF(OR(H166&lt;&gt;"Sí",D166&lt;=0,J166=""),"",MAX(0,D166-I166)/J166),"")</x:f>
      </x:c>
      <x:c r="L166" s="12"/>
      <x:c r="M166" s="12"/>
      <x:c r="N166" s="12"/>
    </x:row>
    <x:row r="167">
      <x:c r="A167" s="12"/>
      <x:c r="B167" s="12"/>
      <x:c r="C167" s="12"/>
      <x:c r="D167" s="18"/>
      <x:c r="E167" s="12"/>
      <x:c r="F167" s="12"/>
      <x:c r="G167" s="12"/>
      <x:c r="H167" s="12"/>
      <x:c r="I167" s="18"/>
      <x:c r="J167" s="18" t="str">
        <x:f>IFERROR(IF(OR(E167="",H167&lt;&gt;"Sí"),"",MAX(1,DATEDIF(TODAY(),E167,"M")+1)),"")</x:f>
      </x:c>
      <x:c r="K167" s="18" t="str">
        <x:f>IFERROR(IF(OR(H167&lt;&gt;"Sí",D167&lt;=0,J167=""),"",MAX(0,D167-I167)/J167),"")</x:f>
      </x:c>
      <x:c r="L167" s="12"/>
      <x:c r="M167" s="12"/>
      <x:c r="N167" s="12"/>
    </x:row>
    <x:row r="168">
      <x:c r="A168" s="12"/>
      <x:c r="B168" s="12"/>
      <x:c r="C168" s="12"/>
      <x:c r="D168" s="18"/>
      <x:c r="E168" s="12"/>
      <x:c r="F168" s="12"/>
      <x:c r="G168" s="12"/>
      <x:c r="H168" s="12"/>
      <x:c r="I168" s="18"/>
      <x:c r="J168" s="18" t="str">
        <x:f>IFERROR(IF(OR(E168="",H168&lt;&gt;"Sí"),"",MAX(1,DATEDIF(TODAY(),E168,"M")+1)),"")</x:f>
      </x:c>
      <x:c r="K168" s="18" t="str">
        <x:f>IFERROR(IF(OR(H168&lt;&gt;"Sí",D168&lt;=0,J168=""),"",MAX(0,D168-I168)/J168),"")</x:f>
      </x:c>
      <x:c r="L168" s="12"/>
      <x:c r="M168" s="12"/>
      <x:c r="N168" s="12"/>
    </x:row>
    <x:row r="169">
      <x:c r="A169" s="12"/>
      <x:c r="B169" s="12"/>
      <x:c r="C169" s="12"/>
      <x:c r="D169" s="18"/>
      <x:c r="E169" s="12"/>
      <x:c r="F169" s="12"/>
      <x:c r="G169" s="12"/>
      <x:c r="H169" s="12"/>
      <x:c r="I169" s="18"/>
      <x:c r="J169" s="18" t="str">
        <x:f>IFERROR(IF(OR(E169="",H169&lt;&gt;"Sí"),"",MAX(1,DATEDIF(TODAY(),E169,"M")+1)),"")</x:f>
      </x:c>
      <x:c r="K169" s="18" t="str">
        <x:f>IFERROR(IF(OR(H169&lt;&gt;"Sí",D169&lt;=0,J169=""),"",MAX(0,D169-I169)/J169),"")</x:f>
      </x:c>
      <x:c r="L169" s="12"/>
      <x:c r="M169" s="12"/>
      <x:c r="N169" s="12"/>
    </x:row>
    <x:row r="170">
      <x:c r="A170" s="12"/>
      <x:c r="B170" s="12"/>
      <x:c r="C170" s="12"/>
      <x:c r="D170" s="18"/>
      <x:c r="E170" s="12"/>
      <x:c r="F170" s="12"/>
      <x:c r="G170" s="12"/>
      <x:c r="H170" s="12"/>
      <x:c r="I170" s="18"/>
      <x:c r="J170" s="18" t="str">
        <x:f>IFERROR(IF(OR(E170="",H170&lt;&gt;"Sí"),"",MAX(1,DATEDIF(TODAY(),E170,"M")+1)),"")</x:f>
      </x:c>
      <x:c r="K170" s="18" t="str">
        <x:f>IFERROR(IF(OR(H170&lt;&gt;"Sí",D170&lt;=0,J170=""),"",MAX(0,D170-I170)/J170),"")</x:f>
      </x:c>
      <x:c r="L170" s="12"/>
      <x:c r="M170" s="12"/>
      <x:c r="N170" s="12"/>
    </x:row>
    <x:row r="171">
      <x:c r="A171" s="12"/>
      <x:c r="B171" s="12"/>
      <x:c r="C171" s="12"/>
      <x:c r="D171" s="18"/>
      <x:c r="E171" s="12"/>
      <x:c r="F171" s="12"/>
      <x:c r="G171" s="12"/>
      <x:c r="H171" s="12"/>
      <x:c r="I171" s="18"/>
      <x:c r="J171" s="18" t="str">
        <x:f>IFERROR(IF(OR(E171="",H171&lt;&gt;"Sí"),"",MAX(1,DATEDIF(TODAY(),E171,"M")+1)),"")</x:f>
      </x:c>
      <x:c r="K171" s="18" t="str">
        <x:f>IFERROR(IF(OR(H171&lt;&gt;"Sí",D171&lt;=0,J171=""),"",MAX(0,D171-I171)/J171),"")</x:f>
      </x:c>
      <x:c r="L171" s="12"/>
      <x:c r="M171" s="12"/>
      <x:c r="N171" s="12"/>
    </x:row>
    <x:row r="172">
      <x:c r="A172" s="12"/>
      <x:c r="B172" s="12"/>
      <x:c r="C172" s="12"/>
      <x:c r="D172" s="18"/>
      <x:c r="E172" s="12"/>
      <x:c r="F172" s="12"/>
      <x:c r="G172" s="12"/>
      <x:c r="H172" s="12"/>
      <x:c r="I172" s="18"/>
      <x:c r="J172" s="18" t="str">
        <x:f>IFERROR(IF(OR(E172="",H172&lt;&gt;"Sí"),"",MAX(1,DATEDIF(TODAY(),E172,"M")+1)),"")</x:f>
      </x:c>
      <x:c r="K172" s="18" t="str">
        <x:f>IFERROR(IF(OR(H172&lt;&gt;"Sí",D172&lt;=0,J172=""),"",MAX(0,D172-I172)/J172),"")</x:f>
      </x:c>
      <x:c r="L172" s="12"/>
      <x:c r="M172" s="12"/>
      <x:c r="N172" s="12"/>
    </x:row>
    <x:row r="173">
      <x:c r="A173" s="12"/>
      <x:c r="B173" s="12"/>
      <x:c r="C173" s="12"/>
      <x:c r="D173" s="18"/>
      <x:c r="E173" s="12"/>
      <x:c r="F173" s="12"/>
      <x:c r="G173" s="12"/>
      <x:c r="H173" s="12"/>
      <x:c r="I173" s="18"/>
      <x:c r="J173" s="18" t="str">
        <x:f>IFERROR(IF(OR(E173="",H173&lt;&gt;"Sí"),"",MAX(1,DATEDIF(TODAY(),E173,"M")+1)),"")</x:f>
      </x:c>
      <x:c r="K173" s="18" t="str">
        <x:f>IFERROR(IF(OR(H173&lt;&gt;"Sí",D173&lt;=0,J173=""),"",MAX(0,D173-I173)/J173),"")</x:f>
      </x:c>
      <x:c r="L173" s="12"/>
      <x:c r="M173" s="12"/>
      <x:c r="N173" s="12"/>
    </x:row>
    <x:row r="174">
      <x:c r="A174" s="12"/>
      <x:c r="B174" s="12"/>
      <x:c r="C174" s="12"/>
      <x:c r="D174" s="18"/>
      <x:c r="E174" s="12"/>
      <x:c r="F174" s="12"/>
      <x:c r="G174" s="12"/>
      <x:c r="H174" s="12"/>
      <x:c r="I174" s="18"/>
      <x:c r="J174" s="18" t="str">
        <x:f>IFERROR(IF(OR(E174="",H174&lt;&gt;"Sí"),"",MAX(1,DATEDIF(TODAY(),E174,"M")+1)),"")</x:f>
      </x:c>
      <x:c r="K174" s="18" t="str">
        <x:f>IFERROR(IF(OR(H174&lt;&gt;"Sí",D174&lt;=0,J174=""),"",MAX(0,D174-I174)/J174),"")</x:f>
      </x:c>
      <x:c r="L174" s="12"/>
      <x:c r="M174" s="12"/>
      <x:c r="N174" s="12"/>
    </x:row>
    <x:row r="175">
      <x:c r="A175" s="12"/>
      <x:c r="B175" s="12"/>
      <x:c r="C175" s="12"/>
      <x:c r="D175" s="18"/>
      <x:c r="E175" s="12"/>
      <x:c r="F175" s="12"/>
      <x:c r="G175" s="12"/>
      <x:c r="H175" s="12"/>
      <x:c r="I175" s="18"/>
      <x:c r="J175" s="18" t="str">
        <x:f>IFERROR(IF(OR(E175="",H175&lt;&gt;"Sí"),"",MAX(1,DATEDIF(TODAY(),E175,"M")+1)),"")</x:f>
      </x:c>
      <x:c r="K175" s="18" t="str">
        <x:f>IFERROR(IF(OR(H175&lt;&gt;"Sí",D175&lt;=0,J175=""),"",MAX(0,D175-I175)/J175),"")</x:f>
      </x:c>
      <x:c r="L175" s="12"/>
      <x:c r="M175" s="12"/>
      <x:c r="N175" s="12"/>
    </x:row>
    <x:row r="176">
      <x:c r="A176" s="12"/>
      <x:c r="B176" s="12"/>
      <x:c r="C176" s="12"/>
      <x:c r="D176" s="18"/>
      <x:c r="E176" s="12"/>
      <x:c r="F176" s="12"/>
      <x:c r="G176" s="12"/>
      <x:c r="H176" s="12"/>
      <x:c r="I176" s="18"/>
      <x:c r="J176" s="18" t="str">
        <x:f>IFERROR(IF(OR(E176="",H176&lt;&gt;"Sí"),"",MAX(1,DATEDIF(TODAY(),E176,"M")+1)),"")</x:f>
      </x:c>
      <x:c r="K176" s="18" t="str">
        <x:f>IFERROR(IF(OR(H176&lt;&gt;"Sí",D176&lt;=0,J176=""),"",MAX(0,D176-I176)/J176),"")</x:f>
      </x:c>
      <x:c r="L176" s="12"/>
      <x:c r="M176" s="12"/>
      <x:c r="N176" s="12"/>
    </x:row>
    <x:row r="177">
      <x:c r="A177" s="12"/>
      <x:c r="B177" s="12"/>
      <x:c r="C177" s="12"/>
      <x:c r="D177" s="18"/>
      <x:c r="E177" s="12"/>
      <x:c r="F177" s="12"/>
      <x:c r="G177" s="12"/>
      <x:c r="H177" s="12"/>
      <x:c r="I177" s="18"/>
      <x:c r="J177" s="18" t="str">
        <x:f>IFERROR(IF(OR(E177="",H177&lt;&gt;"Sí"),"",MAX(1,DATEDIF(TODAY(),E177,"M")+1)),"")</x:f>
      </x:c>
      <x:c r="K177" s="18" t="str">
        <x:f>IFERROR(IF(OR(H177&lt;&gt;"Sí",D177&lt;=0,J177=""),"",MAX(0,D177-I177)/J177),"")</x:f>
      </x:c>
      <x:c r="L177" s="12"/>
      <x:c r="M177" s="12"/>
      <x:c r="N177" s="12"/>
    </x:row>
    <x:row r="178">
      <x:c r="A178" s="12"/>
      <x:c r="B178" s="12"/>
      <x:c r="C178" s="12"/>
      <x:c r="D178" s="18"/>
      <x:c r="E178" s="12"/>
      <x:c r="F178" s="12"/>
      <x:c r="G178" s="12"/>
      <x:c r="H178" s="12"/>
      <x:c r="I178" s="18"/>
      <x:c r="J178" s="18" t="str">
        <x:f>IFERROR(IF(OR(E178="",H178&lt;&gt;"Sí"),"",MAX(1,DATEDIF(TODAY(),E178,"M")+1)),"")</x:f>
      </x:c>
      <x:c r="K178" s="18" t="str">
        <x:f>IFERROR(IF(OR(H178&lt;&gt;"Sí",D178&lt;=0,J178=""),"",MAX(0,D178-I178)/J178),"")</x:f>
      </x:c>
      <x:c r="L178" s="12"/>
      <x:c r="M178" s="12"/>
      <x:c r="N178" s="12"/>
    </x:row>
    <x:row r="179">
      <x:c r="A179" s="12"/>
      <x:c r="B179" s="12"/>
      <x:c r="C179" s="12"/>
      <x:c r="D179" s="18"/>
      <x:c r="E179" s="12"/>
      <x:c r="F179" s="12"/>
      <x:c r="G179" s="12"/>
      <x:c r="H179" s="12"/>
      <x:c r="I179" s="18"/>
      <x:c r="J179" s="18" t="str">
        <x:f>IFERROR(IF(OR(E179="",H179&lt;&gt;"Sí"),"",MAX(1,DATEDIF(TODAY(),E179,"M")+1)),"")</x:f>
      </x:c>
      <x:c r="K179" s="18" t="str">
        <x:f>IFERROR(IF(OR(H179&lt;&gt;"Sí",D179&lt;=0,J179=""),"",MAX(0,D179-I179)/J179),"")</x:f>
      </x:c>
      <x:c r="L179" s="12"/>
      <x:c r="M179" s="12"/>
      <x:c r="N179" s="12"/>
    </x:row>
    <x:row r="180">
      <x:c r="A180" s="12"/>
      <x:c r="B180" s="12"/>
      <x:c r="C180" s="12"/>
      <x:c r="D180" s="18"/>
      <x:c r="E180" s="12"/>
      <x:c r="F180" s="12"/>
      <x:c r="G180" s="12"/>
      <x:c r="H180" s="12"/>
      <x:c r="I180" s="18"/>
      <x:c r="J180" s="18" t="str">
        <x:f>IFERROR(IF(OR(E180="",H180&lt;&gt;"Sí"),"",MAX(1,DATEDIF(TODAY(),E180,"M")+1)),"")</x:f>
      </x:c>
      <x:c r="K180" s="18" t="str">
        <x:f>IFERROR(IF(OR(H180&lt;&gt;"Sí",D180&lt;=0,J180=""),"",MAX(0,D180-I180)/J180),"")</x:f>
      </x:c>
      <x:c r="L180" s="12"/>
      <x:c r="M180" s="12"/>
      <x:c r="N180" s="12"/>
    </x:row>
    <x:row r="181">
      <x:c r="A181" s="12"/>
      <x:c r="B181" s="12"/>
      <x:c r="C181" s="12"/>
      <x:c r="D181" s="18"/>
      <x:c r="E181" s="12"/>
      <x:c r="F181" s="12"/>
      <x:c r="G181" s="12"/>
      <x:c r="H181" s="12"/>
      <x:c r="I181" s="18"/>
      <x:c r="J181" s="18" t="str">
        <x:f>IFERROR(IF(OR(E181="",H181&lt;&gt;"Sí"),"",MAX(1,DATEDIF(TODAY(),E181,"M")+1)),"")</x:f>
      </x:c>
      <x:c r="K181" s="18" t="str">
        <x:f>IFERROR(IF(OR(H181&lt;&gt;"Sí",D181&lt;=0,J181=""),"",MAX(0,D181-I181)/J181),"")</x:f>
      </x:c>
      <x:c r="L181" s="12"/>
      <x:c r="M181" s="12"/>
      <x:c r="N181" s="12"/>
    </x:row>
    <x:row r="182">
      <x:c r="A182" s="12"/>
      <x:c r="B182" s="12"/>
      <x:c r="C182" s="12"/>
      <x:c r="D182" s="18"/>
      <x:c r="E182" s="12"/>
      <x:c r="F182" s="12"/>
      <x:c r="G182" s="12"/>
      <x:c r="H182" s="12"/>
      <x:c r="I182" s="18"/>
      <x:c r="J182" s="18" t="str">
        <x:f>IFERROR(IF(OR(E182="",H182&lt;&gt;"Sí"),"",MAX(1,DATEDIF(TODAY(),E182,"M")+1)),"")</x:f>
      </x:c>
      <x:c r="K182" s="18" t="str">
        <x:f>IFERROR(IF(OR(H182&lt;&gt;"Sí",D182&lt;=0,J182=""),"",MAX(0,D182-I182)/J182),"")</x:f>
      </x:c>
      <x:c r="L182" s="12"/>
      <x:c r="M182" s="12"/>
      <x:c r="N182" s="12"/>
    </x:row>
    <x:row r="183">
      <x:c r="A183" s="12"/>
      <x:c r="B183" s="12"/>
      <x:c r="C183" s="12"/>
      <x:c r="D183" s="18"/>
      <x:c r="E183" s="12"/>
      <x:c r="F183" s="12"/>
      <x:c r="G183" s="12"/>
      <x:c r="H183" s="12"/>
      <x:c r="I183" s="18"/>
      <x:c r="J183" s="18" t="str">
        <x:f>IFERROR(IF(OR(E183="",H183&lt;&gt;"Sí"),"",MAX(1,DATEDIF(TODAY(),E183,"M")+1)),"")</x:f>
      </x:c>
      <x:c r="K183" s="18" t="str">
        <x:f>IFERROR(IF(OR(H183&lt;&gt;"Sí",D183&lt;=0,J183=""),"",MAX(0,D183-I183)/J183),"")</x:f>
      </x:c>
      <x:c r="L183" s="12"/>
      <x:c r="M183" s="12"/>
      <x:c r="N183" s="12"/>
    </x:row>
    <x:row r="184">
      <x:c r="A184" s="12"/>
      <x:c r="B184" s="12"/>
      <x:c r="C184" s="12"/>
      <x:c r="D184" s="18"/>
      <x:c r="E184" s="12"/>
      <x:c r="F184" s="12"/>
      <x:c r="G184" s="12"/>
      <x:c r="H184" s="12"/>
      <x:c r="I184" s="18"/>
      <x:c r="J184" s="18" t="str">
        <x:f>IFERROR(IF(OR(E184="",H184&lt;&gt;"Sí"),"",MAX(1,DATEDIF(TODAY(),E184,"M")+1)),"")</x:f>
      </x:c>
      <x:c r="K184" s="18" t="str">
        <x:f>IFERROR(IF(OR(H184&lt;&gt;"Sí",D184&lt;=0,J184=""),"",MAX(0,D184-I184)/J184),"")</x:f>
      </x:c>
      <x:c r="L184" s="12"/>
      <x:c r="M184" s="12"/>
      <x:c r="N184" s="12"/>
    </x:row>
    <x:row r="185">
      <x:c r="A185" s="12"/>
      <x:c r="B185" s="12"/>
      <x:c r="C185" s="12"/>
      <x:c r="D185" s="18"/>
      <x:c r="E185" s="12"/>
      <x:c r="F185" s="12"/>
      <x:c r="G185" s="12"/>
      <x:c r="H185" s="12"/>
      <x:c r="I185" s="18"/>
      <x:c r="J185" s="18" t="str">
        <x:f>IFERROR(IF(OR(E185="",H185&lt;&gt;"Sí"),"",MAX(1,DATEDIF(TODAY(),E185,"M")+1)),"")</x:f>
      </x:c>
      <x:c r="K185" s="18" t="str">
        <x:f>IFERROR(IF(OR(H185&lt;&gt;"Sí",D185&lt;=0,J185=""),"",MAX(0,D185-I185)/J185),"")</x:f>
      </x:c>
      <x:c r="L185" s="12"/>
      <x:c r="M185" s="12"/>
      <x:c r="N185" s="12"/>
    </x:row>
    <x:row r="186">
      <x:c r="A186" s="12"/>
      <x:c r="B186" s="12"/>
      <x:c r="C186" s="12"/>
      <x:c r="D186" s="18"/>
      <x:c r="E186" s="12"/>
      <x:c r="F186" s="12"/>
      <x:c r="G186" s="12"/>
      <x:c r="H186" s="12"/>
      <x:c r="I186" s="18"/>
      <x:c r="J186" s="18" t="str">
        <x:f>IFERROR(IF(OR(E186="",H186&lt;&gt;"Sí"),"",MAX(1,DATEDIF(TODAY(),E186,"M")+1)),"")</x:f>
      </x:c>
      <x:c r="K186" s="18" t="str">
        <x:f>IFERROR(IF(OR(H186&lt;&gt;"Sí",D186&lt;=0,J186=""),"",MAX(0,D186-I186)/J186),"")</x:f>
      </x:c>
      <x:c r="L186" s="12"/>
      <x:c r="M186" s="12"/>
      <x:c r="N186" s="12"/>
    </x:row>
    <x:row r="187">
      <x:c r="A187" s="12"/>
      <x:c r="B187" s="12"/>
      <x:c r="C187" s="12"/>
      <x:c r="D187" s="18"/>
      <x:c r="E187" s="12"/>
      <x:c r="F187" s="12"/>
      <x:c r="G187" s="12"/>
      <x:c r="H187" s="12"/>
      <x:c r="I187" s="18"/>
      <x:c r="J187" s="18" t="str">
        <x:f>IFERROR(IF(OR(E187="",H187&lt;&gt;"Sí"),"",MAX(1,DATEDIF(TODAY(),E187,"M")+1)),"")</x:f>
      </x:c>
      <x:c r="K187" s="18" t="str">
        <x:f>IFERROR(IF(OR(H187&lt;&gt;"Sí",D187&lt;=0,J187=""),"",MAX(0,D187-I187)/J187),"")</x:f>
      </x:c>
      <x:c r="L187" s="12"/>
      <x:c r="M187" s="12"/>
      <x:c r="N187" s="12"/>
    </x:row>
    <x:row r="188">
      <x:c r="A188" s="12"/>
      <x:c r="B188" s="12"/>
      <x:c r="C188" s="12"/>
      <x:c r="D188" s="18"/>
      <x:c r="E188" s="12"/>
      <x:c r="F188" s="12"/>
      <x:c r="G188" s="12"/>
      <x:c r="H188" s="12"/>
      <x:c r="I188" s="18"/>
      <x:c r="J188" s="18" t="str">
        <x:f>IFERROR(IF(OR(E188="",H188&lt;&gt;"Sí"),"",MAX(1,DATEDIF(TODAY(),E188,"M")+1)),"")</x:f>
      </x:c>
      <x:c r="K188" s="18" t="str">
        <x:f>IFERROR(IF(OR(H188&lt;&gt;"Sí",D188&lt;=0,J188=""),"",MAX(0,D188-I188)/J188),"")</x:f>
      </x:c>
      <x:c r="L188" s="12"/>
      <x:c r="M188" s="12"/>
      <x:c r="N188" s="12"/>
    </x:row>
    <x:row r="189">
      <x:c r="A189" s="12"/>
      <x:c r="B189" s="12"/>
      <x:c r="C189" s="12"/>
      <x:c r="D189" s="18"/>
      <x:c r="E189" s="12"/>
      <x:c r="F189" s="12"/>
      <x:c r="G189" s="12"/>
      <x:c r="H189" s="12"/>
      <x:c r="I189" s="18"/>
      <x:c r="J189" s="18" t="str">
        <x:f>IFERROR(IF(OR(E189="",H189&lt;&gt;"Sí"),"",MAX(1,DATEDIF(TODAY(),E189,"M")+1)),"")</x:f>
      </x:c>
      <x:c r="K189" s="18" t="str">
        <x:f>IFERROR(IF(OR(H189&lt;&gt;"Sí",D189&lt;=0,J189=""),"",MAX(0,D189-I189)/J189),"")</x:f>
      </x:c>
      <x:c r="L189" s="12"/>
      <x:c r="M189" s="12"/>
      <x:c r="N189" s="12"/>
    </x:row>
    <x:row r="190">
      <x:c r="A190" s="12"/>
      <x:c r="B190" s="12"/>
      <x:c r="C190" s="12"/>
      <x:c r="D190" s="18"/>
      <x:c r="E190" s="12"/>
      <x:c r="F190" s="12"/>
      <x:c r="G190" s="12"/>
      <x:c r="H190" s="12"/>
      <x:c r="I190" s="18"/>
      <x:c r="J190" s="18" t="str">
        <x:f>IFERROR(IF(OR(E190="",H190&lt;&gt;"Sí"),"",MAX(1,DATEDIF(TODAY(),E190,"M")+1)),"")</x:f>
      </x:c>
      <x:c r="K190" s="18" t="str">
        <x:f>IFERROR(IF(OR(H190&lt;&gt;"Sí",D190&lt;=0,J190=""),"",MAX(0,D190-I190)/J190),"")</x:f>
      </x:c>
      <x:c r="L190" s="12"/>
      <x:c r="M190" s="12"/>
      <x:c r="N190" s="12"/>
    </x:row>
    <x:row r="191">
      <x:c r="A191" s="12"/>
      <x:c r="B191" s="12"/>
      <x:c r="C191" s="12"/>
      <x:c r="D191" s="18"/>
      <x:c r="E191" s="12"/>
      <x:c r="F191" s="12"/>
      <x:c r="G191" s="12"/>
      <x:c r="H191" s="12"/>
      <x:c r="I191" s="18"/>
      <x:c r="J191" s="18" t="str">
        <x:f>IFERROR(IF(OR(E191="",H191&lt;&gt;"Sí"),"",MAX(1,DATEDIF(TODAY(),E191,"M")+1)),"")</x:f>
      </x:c>
      <x:c r="K191" s="18" t="str">
        <x:f>IFERROR(IF(OR(H191&lt;&gt;"Sí",D191&lt;=0,J191=""),"",MAX(0,D191-I191)/J191),"")</x:f>
      </x:c>
      <x:c r="L191" s="12"/>
      <x:c r="M191" s="12"/>
      <x:c r="N191" s="12"/>
    </x:row>
    <x:row r="192">
      <x:c r="A192" s="12"/>
      <x:c r="B192" s="12"/>
      <x:c r="C192" s="12"/>
      <x:c r="D192" s="18"/>
      <x:c r="E192" s="12"/>
      <x:c r="F192" s="12"/>
      <x:c r="G192" s="12"/>
      <x:c r="H192" s="12"/>
      <x:c r="I192" s="18"/>
      <x:c r="J192" s="18" t="str">
        <x:f>IFERROR(IF(OR(E192="",H192&lt;&gt;"Sí"),"",MAX(1,DATEDIF(TODAY(),E192,"M")+1)),"")</x:f>
      </x:c>
      <x:c r="K192" s="18" t="str">
        <x:f>IFERROR(IF(OR(H192&lt;&gt;"Sí",D192&lt;=0,J192=""),"",MAX(0,D192-I192)/J192),"")</x:f>
      </x:c>
      <x:c r="L192" s="12"/>
      <x:c r="M192" s="12"/>
      <x:c r="N192" s="12"/>
    </x:row>
    <x:row r="193">
      <x:c r="A193" s="12"/>
      <x:c r="B193" s="12"/>
      <x:c r="C193" s="12"/>
      <x:c r="D193" s="18"/>
      <x:c r="E193" s="12"/>
      <x:c r="F193" s="12"/>
      <x:c r="G193" s="12"/>
      <x:c r="H193" s="12"/>
      <x:c r="I193" s="18"/>
      <x:c r="J193" s="18" t="str">
        <x:f>IFERROR(IF(OR(E193="",H193&lt;&gt;"Sí"),"",MAX(1,DATEDIF(TODAY(),E193,"M")+1)),"")</x:f>
      </x:c>
      <x:c r="K193" s="18" t="str">
        <x:f>IFERROR(IF(OR(H193&lt;&gt;"Sí",D193&lt;=0,J193=""),"",MAX(0,D193-I193)/J193),"")</x:f>
      </x:c>
      <x:c r="L193" s="12"/>
      <x:c r="M193" s="12"/>
      <x:c r="N193" s="12"/>
    </x:row>
    <x:row r="194">
      <x:c r="A194" s="12"/>
      <x:c r="B194" s="12"/>
      <x:c r="C194" s="12"/>
      <x:c r="D194" s="18"/>
      <x:c r="E194" s="12"/>
      <x:c r="F194" s="12"/>
      <x:c r="G194" s="12"/>
      <x:c r="H194" s="12"/>
      <x:c r="I194" s="18"/>
      <x:c r="J194" s="18" t="str">
        <x:f>IFERROR(IF(OR(E194="",H194&lt;&gt;"Sí"),"",MAX(1,DATEDIF(TODAY(),E194,"M")+1)),"")</x:f>
      </x:c>
      <x:c r="K194" s="18" t="str">
        <x:f>IFERROR(IF(OR(H194&lt;&gt;"Sí",D194&lt;=0,J194=""),"",MAX(0,D194-I194)/J194),"")</x:f>
      </x:c>
      <x:c r="L194" s="12"/>
      <x:c r="M194" s="12"/>
      <x:c r="N194" s="12"/>
    </x:row>
    <x:row r="195">
      <x:c r="A195" s="12"/>
      <x:c r="B195" s="12"/>
      <x:c r="C195" s="12"/>
      <x:c r="D195" s="18"/>
      <x:c r="E195" s="12"/>
      <x:c r="F195" s="12"/>
      <x:c r="G195" s="12"/>
      <x:c r="H195" s="12"/>
      <x:c r="I195" s="18"/>
      <x:c r="J195" s="18" t="str">
        <x:f>IFERROR(IF(OR(E195="",H195&lt;&gt;"Sí"),"",MAX(1,DATEDIF(TODAY(),E195,"M")+1)),"")</x:f>
      </x:c>
      <x:c r="K195" s="18" t="str">
        <x:f>IFERROR(IF(OR(H195&lt;&gt;"Sí",D195&lt;=0,J195=""),"",MAX(0,D195-I195)/J195),"")</x:f>
      </x:c>
      <x:c r="L195" s="12"/>
      <x:c r="M195" s="12"/>
      <x:c r="N195" s="12"/>
    </x:row>
    <x:row r="196">
      <x:c r="A196" s="12"/>
      <x:c r="B196" s="12"/>
      <x:c r="C196" s="12"/>
      <x:c r="D196" s="18"/>
      <x:c r="E196" s="12"/>
      <x:c r="F196" s="12"/>
      <x:c r="G196" s="12"/>
      <x:c r="H196" s="12"/>
      <x:c r="I196" s="18"/>
      <x:c r="J196" s="18" t="str">
        <x:f>IFERROR(IF(OR(E196="",H196&lt;&gt;"Sí"),"",MAX(1,DATEDIF(TODAY(),E196,"M")+1)),"")</x:f>
      </x:c>
      <x:c r="K196" s="18" t="str">
        <x:f>IFERROR(IF(OR(H196&lt;&gt;"Sí",D196&lt;=0,J196=""),"",MAX(0,D196-I196)/J196),"")</x:f>
      </x:c>
      <x:c r="L196" s="12"/>
      <x:c r="M196" s="12"/>
      <x:c r="N196" s="12"/>
    </x:row>
    <x:row r="197">
      <x:c r="A197" s="12"/>
      <x:c r="B197" s="12"/>
      <x:c r="C197" s="12"/>
      <x:c r="D197" s="18"/>
      <x:c r="E197" s="12"/>
      <x:c r="F197" s="12"/>
      <x:c r="G197" s="12"/>
      <x:c r="H197" s="12"/>
      <x:c r="I197" s="18"/>
      <x:c r="J197" s="18" t="str">
        <x:f>IFERROR(IF(OR(E197="",H197&lt;&gt;"Sí"),"",MAX(1,DATEDIF(TODAY(),E197,"M")+1)),"")</x:f>
      </x:c>
      <x:c r="K197" s="18" t="str">
        <x:f>IFERROR(IF(OR(H197&lt;&gt;"Sí",D197&lt;=0,J197=""),"",MAX(0,D197-I197)/J197),"")</x:f>
      </x:c>
      <x:c r="L197" s="12"/>
      <x:c r="M197" s="12"/>
      <x:c r="N197" s="12"/>
    </x:row>
    <x:row r="198">
      <x:c r="A198" s="12"/>
      <x:c r="B198" s="12"/>
      <x:c r="C198" s="12"/>
      <x:c r="D198" s="18"/>
      <x:c r="E198" s="12"/>
      <x:c r="F198" s="12"/>
      <x:c r="G198" s="12"/>
      <x:c r="H198" s="12"/>
      <x:c r="I198" s="18"/>
      <x:c r="J198" s="18" t="str">
        <x:f>IFERROR(IF(OR(E198="",H198&lt;&gt;"Sí"),"",MAX(1,DATEDIF(TODAY(),E198,"M")+1)),"")</x:f>
      </x:c>
      <x:c r="K198" s="18" t="str">
        <x:f>IFERROR(IF(OR(H198&lt;&gt;"Sí",D198&lt;=0,J198=""),"",MAX(0,D198-I198)/J198),"")</x:f>
      </x:c>
      <x:c r="L198" s="12"/>
      <x:c r="M198" s="12"/>
      <x:c r="N198" s="12"/>
    </x:row>
    <x:row r="199">
      <x:c r="A199" s="12"/>
      <x:c r="B199" s="12"/>
      <x:c r="C199" s="12"/>
      <x:c r="D199" s="18"/>
      <x:c r="E199" s="12"/>
      <x:c r="F199" s="12"/>
      <x:c r="G199" s="12"/>
      <x:c r="H199" s="12"/>
      <x:c r="I199" s="18"/>
      <x:c r="J199" s="18" t="str">
        <x:f>IFERROR(IF(OR(E199="",H199&lt;&gt;"Sí"),"",MAX(1,DATEDIF(TODAY(),E199,"M")+1)),"")</x:f>
      </x:c>
      <x:c r="K199" s="18" t="str">
        <x:f>IFERROR(IF(OR(H199&lt;&gt;"Sí",D199&lt;=0,J199=""),"",MAX(0,D199-I199)/J199),"")</x:f>
      </x:c>
      <x:c r="L199" s="12"/>
      <x:c r="M199" s="12"/>
      <x:c r="N199" s="12"/>
    </x:row>
    <x:row r="200">
      <x:c r="A200" s="12"/>
      <x:c r="B200" s="12"/>
      <x:c r="C200" s="12"/>
      <x:c r="D200" s="18"/>
      <x:c r="E200" s="12"/>
      <x:c r="F200" s="12"/>
      <x:c r="G200" s="12"/>
      <x:c r="H200" s="12"/>
      <x:c r="I200" s="18"/>
      <x:c r="J200" s="18" t="str">
        <x:f>IFERROR(IF(OR(E200="",H200&lt;&gt;"Sí"),"",MAX(1,DATEDIF(TODAY(),E200,"M")+1)),"")</x:f>
      </x:c>
      <x:c r="K200" s="18" t="str">
        <x:f>IFERROR(IF(OR(H200&lt;&gt;"Sí",D200&lt;=0,J200=""),"",MAX(0,D200-I200)/J200),"")</x:f>
      </x:c>
      <x:c r="L200" s="12"/>
      <x:c r="M200" s="12"/>
      <x:c r="N200" s="12"/>
    </x:row>
    <x:row r="201">
      <x:c r="A201" s="12"/>
      <x:c r="B201" s="12"/>
      <x:c r="C201" s="12"/>
      <x:c r="D201" s="18"/>
      <x:c r="E201" s="12"/>
      <x:c r="F201" s="12"/>
      <x:c r="G201" s="12"/>
      <x:c r="H201" s="12"/>
      <x:c r="I201" s="18"/>
      <x:c r="J201" s="18" t="str">
        <x:f>IFERROR(IF(OR(E201="",H201&lt;&gt;"Sí"),"",MAX(1,DATEDIF(TODAY(),E201,"M")+1)),"")</x:f>
      </x:c>
      <x:c r="K201" s="18" t="str">
        <x:f>IFERROR(IF(OR(H201&lt;&gt;"Sí",D201&lt;=0,J201=""),"",MAX(0,D201-I201)/J201),"")</x:f>
      </x:c>
      <x:c r="L201" s="12"/>
      <x:c r="M201" s="12"/>
      <x:c r="N201" s="12"/>
    </x:row>
    <x:row r="202">
      <x:c r="A202" s="12"/>
      <x:c r="B202" s="12"/>
      <x:c r="C202" s="12"/>
      <x:c r="D202" s="18"/>
      <x:c r="E202" s="12"/>
      <x:c r="F202" s="12"/>
      <x:c r="G202" s="12"/>
      <x:c r="H202" s="12"/>
      <x:c r="I202" s="18"/>
      <x:c r="J202" s="18" t="str">
        <x:f>IFERROR(IF(OR(E202="",H202&lt;&gt;"Sí"),"",MAX(1,DATEDIF(TODAY(),E202,"M")+1)),"")</x:f>
      </x:c>
      <x:c r="K202" s="18" t="str">
        <x:f>IFERROR(IF(OR(H202&lt;&gt;"Sí",D202&lt;=0,J202=""),"",MAX(0,D202-I202)/J202),"")</x:f>
      </x:c>
      <x:c r="L202" s="12"/>
      <x:c r="M202" s="12"/>
      <x:c r="N202" s="12"/>
    </x:row>
    <x:row r="203">
      <x:c r="A203" s="12"/>
      <x:c r="B203" s="12"/>
      <x:c r="C203" s="12"/>
      <x:c r="D203" s="18"/>
      <x:c r="E203" s="12"/>
      <x:c r="F203" s="12"/>
      <x:c r="G203" s="12"/>
      <x:c r="H203" s="12"/>
      <x:c r="I203" s="18"/>
      <x:c r="J203" s="18" t="str">
        <x:f>IFERROR(IF(OR(E203="",H203&lt;&gt;"Sí"),"",MAX(1,DATEDIF(TODAY(),E203,"M")+1)),"")</x:f>
      </x:c>
      <x:c r="K203" s="18" t="str">
        <x:f>IFERROR(IF(OR(H203&lt;&gt;"Sí",D203&lt;=0,J203=""),"",MAX(0,D203-I203)/J203),"")</x:f>
      </x:c>
      <x:c r="L203" s="12"/>
      <x:c r="M203" s="12"/>
      <x:c r="N203" s="12"/>
    </x:row>
    <x:row r="204">
      <x:c r="A204" s="12"/>
      <x:c r="B204" s="12"/>
      <x:c r="C204" s="12"/>
      <x:c r="D204" s="18"/>
      <x:c r="E204" s="12"/>
      <x:c r="F204" s="12"/>
      <x:c r="G204" s="12"/>
      <x:c r="H204" s="12"/>
      <x:c r="I204" s="18"/>
      <x:c r="J204" s="18" t="str">
        <x:f>IFERROR(IF(OR(E204="",H204&lt;&gt;"Sí"),"",MAX(1,DATEDIF(TODAY(),E204,"M")+1)),"")</x:f>
      </x:c>
      <x:c r="K204" s="18" t="str">
        <x:f>IFERROR(IF(OR(H204&lt;&gt;"Sí",D204&lt;=0,J204=""),"",MAX(0,D204-I204)/J204),"")</x:f>
      </x:c>
      <x:c r="L204" s="12"/>
      <x:c r="M204" s="12"/>
      <x:c r="N204" s="12"/>
    </x:row>
    <x:row r="205">
      <x:c r="A205" s="12"/>
      <x:c r="B205" s="12"/>
      <x:c r="C205" s="12"/>
      <x:c r="D205" s="18"/>
      <x:c r="E205" s="12"/>
      <x:c r="F205" s="12"/>
      <x:c r="G205" s="12"/>
      <x:c r="H205" s="12"/>
      <x:c r="I205" s="18"/>
      <x:c r="J205" s="18" t="str">
        <x:f>IFERROR(IF(OR(E205="",H205&lt;&gt;"Sí"),"",MAX(1,DATEDIF(TODAY(),E205,"M")+1)),"")</x:f>
      </x:c>
      <x:c r="K205" s="18" t="str">
        <x:f>IFERROR(IF(OR(H205&lt;&gt;"Sí",D205&lt;=0,J205=""),"",MAX(0,D205-I205)/J205),"")</x:f>
      </x:c>
      <x:c r="L205" s="12"/>
      <x:c r="M205" s="12"/>
      <x:c r="N205" s="12"/>
    </x:row>
    <x:row r="206">
      <x:c r="A206" s="12"/>
      <x:c r="B206" s="12"/>
      <x:c r="C206" s="12"/>
      <x:c r="D206" s="18"/>
      <x:c r="E206" s="12"/>
      <x:c r="F206" s="12"/>
      <x:c r="G206" s="12"/>
      <x:c r="H206" s="12"/>
      <x:c r="I206" s="18"/>
      <x:c r="J206" s="18" t="str">
        <x:f>IFERROR(IF(OR(E206="",H206&lt;&gt;"Sí"),"",MAX(1,DATEDIF(TODAY(),E206,"M")+1)),"")</x:f>
      </x:c>
      <x:c r="K206" s="18" t="str">
        <x:f>IFERROR(IF(OR(H206&lt;&gt;"Sí",D206&lt;=0,J206=""),"",MAX(0,D206-I206)/J206),"")</x:f>
      </x:c>
      <x:c r="L206" s="12"/>
      <x:c r="M206" s="12"/>
      <x:c r="N206" s="12"/>
    </x:row>
    <x:row r="207">
      <x:c r="A207" s="12"/>
      <x:c r="B207" s="12"/>
      <x:c r="C207" s="12"/>
      <x:c r="D207" s="18"/>
      <x:c r="E207" s="12"/>
      <x:c r="F207" s="12"/>
      <x:c r="G207" s="12"/>
      <x:c r="H207" s="12"/>
      <x:c r="I207" s="18"/>
      <x:c r="J207" s="18" t="str">
        <x:f>IFERROR(IF(OR(E207="",H207&lt;&gt;"Sí"),"",MAX(1,DATEDIF(TODAY(),E207,"M")+1)),"")</x:f>
      </x:c>
      <x:c r="K207" s="18" t="str">
        <x:f>IFERROR(IF(OR(H207&lt;&gt;"Sí",D207&lt;=0,J207=""),"",MAX(0,D207-I207)/J207),"")</x:f>
      </x:c>
      <x:c r="L207" s="12"/>
      <x:c r="M207" s="12"/>
      <x:c r="N207" s="12"/>
    </x:row>
    <x:row r="208">
      <x:c r="A208" s="12"/>
      <x:c r="B208" s="12"/>
      <x:c r="C208" s="12"/>
      <x:c r="D208" s="18"/>
      <x:c r="E208" s="12"/>
      <x:c r="F208" s="12"/>
      <x:c r="G208" s="12"/>
      <x:c r="H208" s="12"/>
      <x:c r="I208" s="18"/>
      <x:c r="J208" s="18" t="str">
        <x:f>IFERROR(IF(OR(E208="",H208&lt;&gt;"Sí"),"",MAX(1,DATEDIF(TODAY(),E208,"M")+1)),"")</x:f>
      </x:c>
      <x:c r="K208" s="18" t="str">
        <x:f>IFERROR(IF(OR(H208&lt;&gt;"Sí",D208&lt;=0,J208=""),"",MAX(0,D208-I208)/J208),"")</x:f>
      </x:c>
      <x:c r="L208" s="12"/>
      <x:c r="M208" s="12"/>
      <x:c r="N208" s="12"/>
    </x:row>
    <x:row r="209">
      <x:c r="A209" s="12"/>
      <x:c r="B209" s="12"/>
      <x:c r="C209" s="12"/>
      <x:c r="D209" s="18"/>
      <x:c r="E209" s="12"/>
      <x:c r="F209" s="12"/>
      <x:c r="G209" s="12"/>
      <x:c r="H209" s="12"/>
      <x:c r="I209" s="18"/>
      <x:c r="J209" s="18" t="str">
        <x:f>IFERROR(IF(OR(E209="",H209&lt;&gt;"Sí"),"",MAX(1,DATEDIF(TODAY(),E209,"M")+1)),"")</x:f>
      </x:c>
      <x:c r="K209" s="18" t="str">
        <x:f>IFERROR(IF(OR(H209&lt;&gt;"Sí",D209&lt;=0,J209=""),"",MAX(0,D209-I209)/J209),"")</x:f>
      </x:c>
      <x:c r="L209" s="12"/>
      <x:c r="M209" s="12"/>
      <x:c r="N209" s="12"/>
    </x:row>
    <x:row r="210">
      <x:c r="A210" s="12"/>
      <x:c r="B210" s="12"/>
      <x:c r="C210" s="12"/>
      <x:c r="D210" s="18"/>
      <x:c r="E210" s="12"/>
      <x:c r="F210" s="12"/>
      <x:c r="G210" s="12"/>
      <x:c r="H210" s="12"/>
      <x:c r="I210" s="18"/>
      <x:c r="J210" s="18" t="str">
        <x:f>IFERROR(IF(OR(E210="",H210&lt;&gt;"Sí"),"",MAX(1,DATEDIF(TODAY(),E210,"M")+1)),"")</x:f>
      </x:c>
      <x:c r="K210" s="18" t="str">
        <x:f>IFERROR(IF(OR(H210&lt;&gt;"Sí",D210&lt;=0,J210=""),"",MAX(0,D210-I210)/J210),"")</x:f>
      </x:c>
      <x:c r="L210" s="12"/>
      <x:c r="M210" s="12"/>
      <x:c r="N210" s="12"/>
    </x:row>
    <x:row r="211">
      <x:c r="A211" s="12"/>
      <x:c r="B211" s="12"/>
      <x:c r="C211" s="12"/>
      <x:c r="D211" s="18"/>
      <x:c r="E211" s="12"/>
      <x:c r="F211" s="12"/>
      <x:c r="G211" s="12"/>
      <x:c r="H211" s="12"/>
      <x:c r="I211" s="18"/>
      <x:c r="J211" s="18" t="str">
        <x:f>IFERROR(IF(OR(E211="",H211&lt;&gt;"Sí"),"",MAX(1,DATEDIF(TODAY(),E211,"M")+1)),"")</x:f>
      </x:c>
      <x:c r="K211" s="18" t="str">
        <x:f>IFERROR(IF(OR(H211&lt;&gt;"Sí",D211&lt;=0,J211=""),"",MAX(0,D211-I211)/J211),"")</x:f>
      </x:c>
      <x:c r="L211" s="12"/>
      <x:c r="M211" s="12"/>
      <x:c r="N211" s="12"/>
    </x:row>
    <x:row r="212">
      <x:c r="A212" s="12"/>
      <x:c r="B212" s="12"/>
      <x:c r="C212" s="12"/>
      <x:c r="D212" s="18"/>
      <x:c r="E212" s="12"/>
      <x:c r="F212" s="12"/>
      <x:c r="G212" s="12"/>
      <x:c r="H212" s="12"/>
      <x:c r="I212" s="18"/>
      <x:c r="J212" s="18" t="str">
        <x:f>IFERROR(IF(OR(E212="",H212&lt;&gt;"Sí"),"",MAX(1,DATEDIF(TODAY(),E212,"M")+1)),"")</x:f>
      </x:c>
      <x:c r="K212" s="18" t="str">
        <x:f>IFERROR(IF(OR(H212&lt;&gt;"Sí",D212&lt;=0,J212=""),"",MAX(0,D212-I212)/J212),"")</x:f>
      </x:c>
      <x:c r="L212" s="12"/>
      <x:c r="M212" s="12"/>
      <x:c r="N212" s="12"/>
    </x:row>
    <x:row r="213">
      <x:c r="A213" s="12"/>
      <x:c r="B213" s="12"/>
      <x:c r="C213" s="12"/>
      <x:c r="D213" s="18"/>
      <x:c r="E213" s="12"/>
      <x:c r="F213" s="12"/>
      <x:c r="G213" s="12"/>
      <x:c r="H213" s="12"/>
      <x:c r="I213" s="18"/>
      <x:c r="J213" s="18" t="str">
        <x:f>IFERROR(IF(OR(E213="",H213&lt;&gt;"Sí"),"",MAX(1,DATEDIF(TODAY(),E213,"M")+1)),"")</x:f>
      </x:c>
      <x:c r="K213" s="18" t="str">
        <x:f>IFERROR(IF(OR(H213&lt;&gt;"Sí",D213&lt;=0,J213=""),"",MAX(0,D213-I213)/J213),"")</x:f>
      </x:c>
      <x:c r="L213" s="12"/>
      <x:c r="M213" s="12"/>
      <x:c r="N213" s="12"/>
    </x:row>
    <x:row r="214">
      <x:c r="A214" s="12"/>
      <x:c r="B214" s="12"/>
      <x:c r="C214" s="12"/>
      <x:c r="D214" s="18"/>
      <x:c r="E214" s="12"/>
      <x:c r="F214" s="12"/>
      <x:c r="G214" s="12"/>
      <x:c r="H214" s="12"/>
      <x:c r="I214" s="18"/>
      <x:c r="J214" s="18" t="str">
        <x:f>IFERROR(IF(OR(E214="",H214&lt;&gt;"Sí"),"",MAX(1,DATEDIF(TODAY(),E214,"M")+1)),"")</x:f>
      </x:c>
      <x:c r="K214" s="18" t="str">
        <x:f>IFERROR(IF(OR(H214&lt;&gt;"Sí",D214&lt;=0,J214=""),"",MAX(0,D214-I214)/J214),"")</x:f>
      </x:c>
      <x:c r="L214" s="12"/>
      <x:c r="M214" s="12"/>
      <x:c r="N214" s="12"/>
    </x:row>
    <x:row r="215">
      <x:c r="A215" s="12"/>
      <x:c r="B215" s="12"/>
      <x:c r="C215" s="12"/>
      <x:c r="D215" s="18"/>
      <x:c r="E215" s="12"/>
      <x:c r="F215" s="12"/>
      <x:c r="G215" s="12"/>
      <x:c r="H215" s="12"/>
      <x:c r="I215" s="18"/>
      <x:c r="J215" s="18" t="str">
        <x:f>IFERROR(IF(OR(E215="",H215&lt;&gt;"Sí"),"",MAX(1,DATEDIF(TODAY(),E215,"M")+1)),"")</x:f>
      </x:c>
      <x:c r="K215" s="18" t="str">
        <x:f>IFERROR(IF(OR(H215&lt;&gt;"Sí",D215&lt;=0,J215=""),"",MAX(0,D215-I215)/J215),"")</x:f>
      </x:c>
      <x:c r="L215" s="12"/>
      <x:c r="M215" s="12"/>
      <x:c r="N215" s="12"/>
    </x:row>
    <x:row r="216">
      <x:c r="A216" s="12"/>
      <x:c r="B216" s="12"/>
      <x:c r="C216" s="12"/>
      <x:c r="D216" s="18"/>
      <x:c r="E216" s="12"/>
      <x:c r="F216" s="12"/>
      <x:c r="G216" s="12"/>
      <x:c r="H216" s="12"/>
      <x:c r="I216" s="18"/>
      <x:c r="J216" s="18" t="str">
        <x:f>IFERROR(IF(OR(E216="",H216&lt;&gt;"Sí"),"",MAX(1,DATEDIF(TODAY(),E216,"M")+1)),"")</x:f>
      </x:c>
      <x:c r="K216" s="18" t="str">
        <x:f>IFERROR(IF(OR(H216&lt;&gt;"Sí",D216&lt;=0,J216=""),"",MAX(0,D216-I216)/J216),"")</x:f>
      </x:c>
      <x:c r="L216" s="12"/>
      <x:c r="M216" s="12"/>
      <x:c r="N216" s="12"/>
    </x:row>
    <x:row r="217">
      <x:c r="A217" s="12"/>
      <x:c r="B217" s="12"/>
      <x:c r="C217" s="12"/>
      <x:c r="D217" s="18"/>
      <x:c r="E217" s="12"/>
      <x:c r="F217" s="12"/>
      <x:c r="G217" s="12"/>
      <x:c r="H217" s="12"/>
      <x:c r="I217" s="18"/>
      <x:c r="J217" s="18" t="str">
        <x:f>IFERROR(IF(OR(E217="",H217&lt;&gt;"Sí"),"",MAX(1,DATEDIF(TODAY(),E217,"M")+1)),"")</x:f>
      </x:c>
      <x:c r="K217" s="18" t="str">
        <x:f>IFERROR(IF(OR(H217&lt;&gt;"Sí",D217&lt;=0,J217=""),"",MAX(0,D217-I217)/J217),"")</x:f>
      </x:c>
      <x:c r="L217" s="12"/>
      <x:c r="M217" s="12"/>
      <x:c r="N217" s="12"/>
    </x:row>
    <x:row r="218">
      <x:c r="A218" s="12"/>
      <x:c r="B218" s="12"/>
      <x:c r="C218" s="12"/>
      <x:c r="D218" s="18"/>
      <x:c r="E218" s="12"/>
      <x:c r="F218" s="12"/>
      <x:c r="G218" s="12"/>
      <x:c r="H218" s="12"/>
      <x:c r="I218" s="18"/>
      <x:c r="J218" s="18" t="str">
        <x:f>IFERROR(IF(OR(E218="",H218&lt;&gt;"Sí"),"",MAX(1,DATEDIF(TODAY(),E218,"M")+1)),"")</x:f>
      </x:c>
      <x:c r="K218" s="18" t="str">
        <x:f>IFERROR(IF(OR(H218&lt;&gt;"Sí",D218&lt;=0,J218=""),"",MAX(0,D218-I218)/J218),"")</x:f>
      </x:c>
      <x:c r="L218" s="12"/>
      <x:c r="M218" s="12"/>
      <x:c r="N218" s="12"/>
    </x:row>
    <x:row r="219">
      <x:c r="A219" s="12"/>
      <x:c r="B219" s="12"/>
      <x:c r="C219" s="12"/>
      <x:c r="D219" s="18"/>
      <x:c r="E219" s="12"/>
      <x:c r="F219" s="12"/>
      <x:c r="G219" s="12"/>
      <x:c r="H219" s="12"/>
      <x:c r="I219" s="18"/>
      <x:c r="J219" s="18" t="str">
        <x:f>IFERROR(IF(OR(E219="",H219&lt;&gt;"Sí"),"",MAX(1,DATEDIF(TODAY(),E219,"M")+1)),"")</x:f>
      </x:c>
      <x:c r="K219" s="18" t="str">
        <x:f>IFERROR(IF(OR(H219&lt;&gt;"Sí",D219&lt;=0,J219=""),"",MAX(0,D219-I219)/J219),"")</x:f>
      </x:c>
      <x:c r="L219" s="12"/>
      <x:c r="M219" s="12"/>
      <x:c r="N219" s="12"/>
    </x:row>
    <x:row r="220">
      <x:c r="A220" s="12"/>
      <x:c r="B220" s="12"/>
      <x:c r="C220" s="12"/>
      <x:c r="D220" s="18"/>
      <x:c r="E220" s="12"/>
      <x:c r="F220" s="12"/>
      <x:c r="G220" s="12"/>
      <x:c r="H220" s="12"/>
      <x:c r="I220" s="18"/>
      <x:c r="J220" s="18" t="str">
        <x:f>IFERROR(IF(OR(E220="",H220&lt;&gt;"Sí"),"",MAX(1,DATEDIF(TODAY(),E220,"M")+1)),"")</x:f>
      </x:c>
      <x:c r="K220" s="18" t="str">
        <x:f>IFERROR(IF(OR(H220&lt;&gt;"Sí",D220&lt;=0,J220=""),"",MAX(0,D220-I220)/J220),"")</x:f>
      </x:c>
      <x:c r="L220" s="12"/>
      <x:c r="M220" s="12"/>
      <x:c r="N220" s="12"/>
    </x:row>
    <x:row r="221">
      <x:c r="A221" s="12"/>
      <x:c r="B221" s="12"/>
      <x:c r="C221" s="12"/>
      <x:c r="D221" s="18"/>
      <x:c r="E221" s="12"/>
      <x:c r="F221" s="12"/>
      <x:c r="G221" s="12"/>
      <x:c r="H221" s="12"/>
      <x:c r="I221" s="18"/>
      <x:c r="J221" s="18" t="str">
        <x:f>IFERROR(IF(OR(E221="",H221&lt;&gt;"Sí"),"",MAX(1,DATEDIF(TODAY(),E221,"M")+1)),"")</x:f>
      </x:c>
      <x:c r="K221" s="18" t="str">
        <x:f>IFERROR(IF(OR(H221&lt;&gt;"Sí",D221&lt;=0,J221=""),"",MAX(0,D221-I221)/J221),"")</x:f>
      </x:c>
      <x:c r="L221" s="12"/>
      <x:c r="M221" s="12"/>
      <x:c r="N221" s="12"/>
    </x:row>
    <x:row r="222">
      <x:c r="A222" s="12"/>
      <x:c r="B222" s="12"/>
      <x:c r="C222" s="12"/>
      <x:c r="D222" s="18"/>
      <x:c r="E222" s="12"/>
      <x:c r="F222" s="12"/>
      <x:c r="G222" s="12"/>
      <x:c r="H222" s="12"/>
      <x:c r="I222" s="18"/>
      <x:c r="J222" s="18" t="str">
        <x:f>IFERROR(IF(OR(E222="",H222&lt;&gt;"Sí"),"",MAX(1,DATEDIF(TODAY(),E222,"M")+1)),"")</x:f>
      </x:c>
      <x:c r="K222" s="18" t="str">
        <x:f>IFERROR(IF(OR(H222&lt;&gt;"Sí",D222&lt;=0,J222=""),"",MAX(0,D222-I222)/J222),"")</x:f>
      </x:c>
      <x:c r="L222" s="12"/>
      <x:c r="M222" s="12"/>
      <x:c r="N222" s="12"/>
    </x:row>
    <x:row r="223">
      <x:c r="A223" s="12"/>
      <x:c r="B223" s="12"/>
      <x:c r="C223" s="12"/>
      <x:c r="D223" s="18"/>
      <x:c r="E223" s="12"/>
      <x:c r="F223" s="12"/>
      <x:c r="G223" s="12"/>
      <x:c r="H223" s="12"/>
      <x:c r="I223" s="18"/>
      <x:c r="J223" s="18" t="str">
        <x:f>IFERROR(IF(OR(E223="",H223&lt;&gt;"Sí"),"",MAX(1,DATEDIF(TODAY(),E223,"M")+1)),"")</x:f>
      </x:c>
      <x:c r="K223" s="18" t="str">
        <x:f>IFERROR(IF(OR(H223&lt;&gt;"Sí",D223&lt;=0,J223=""),"",MAX(0,D223-I223)/J223),"")</x:f>
      </x:c>
      <x:c r="L223" s="12"/>
      <x:c r="M223" s="12"/>
      <x:c r="N223" s="12"/>
    </x:row>
    <x:row r="224">
      <x:c r="A224" s="12"/>
      <x:c r="B224" s="12"/>
      <x:c r="C224" s="12"/>
      <x:c r="D224" s="18"/>
      <x:c r="E224" s="12"/>
      <x:c r="F224" s="12"/>
      <x:c r="G224" s="12"/>
      <x:c r="H224" s="12"/>
      <x:c r="I224" s="18"/>
      <x:c r="J224" s="18" t="str">
        <x:f>IFERROR(IF(OR(E224="",H224&lt;&gt;"Sí"),"",MAX(1,DATEDIF(TODAY(),E224,"M")+1)),"")</x:f>
      </x:c>
      <x:c r="K224" s="18" t="str">
        <x:f>IFERROR(IF(OR(H224&lt;&gt;"Sí",D224&lt;=0,J224=""),"",MAX(0,D224-I224)/J224),"")</x:f>
      </x:c>
      <x:c r="L224" s="12"/>
      <x:c r="M224" s="12"/>
      <x:c r="N224" s="12"/>
    </x:row>
    <x:row r="225">
      <x:c r="A225" s="12"/>
      <x:c r="B225" s="12"/>
      <x:c r="C225" s="12"/>
      <x:c r="D225" s="18"/>
      <x:c r="E225" s="12"/>
      <x:c r="F225" s="12"/>
      <x:c r="G225" s="12"/>
      <x:c r="H225" s="12"/>
      <x:c r="I225" s="18"/>
      <x:c r="J225" s="18" t="str">
        <x:f>IFERROR(IF(OR(E225="",H225&lt;&gt;"Sí"),"",MAX(1,DATEDIF(TODAY(),E225,"M")+1)),"")</x:f>
      </x:c>
      <x:c r="K225" s="18" t="str">
        <x:f>IFERROR(IF(OR(H225&lt;&gt;"Sí",D225&lt;=0,J225=""),"",MAX(0,D225-I225)/J225),"")</x:f>
      </x:c>
      <x:c r="L225" s="12"/>
      <x:c r="M225" s="12"/>
      <x:c r="N225" s="12"/>
    </x:row>
    <x:row r="226">
      <x:c r="A226" s="12"/>
      <x:c r="B226" s="12"/>
      <x:c r="C226" s="12"/>
      <x:c r="D226" s="18"/>
      <x:c r="E226" s="12"/>
      <x:c r="F226" s="12"/>
      <x:c r="G226" s="12"/>
      <x:c r="H226" s="12"/>
      <x:c r="I226" s="18"/>
      <x:c r="J226" s="18" t="str">
        <x:f>IFERROR(IF(OR(E226="",H226&lt;&gt;"Sí"),"",MAX(1,DATEDIF(TODAY(),E226,"M")+1)),"")</x:f>
      </x:c>
      <x:c r="K226" s="18" t="str">
        <x:f>IFERROR(IF(OR(H226&lt;&gt;"Sí",D226&lt;=0,J226=""),"",MAX(0,D226-I226)/J226),"")</x:f>
      </x:c>
      <x:c r="L226" s="12"/>
      <x:c r="M226" s="12"/>
      <x:c r="N226" s="12"/>
    </x:row>
    <x:row r="227">
      <x:c r="A227" s="12"/>
      <x:c r="B227" s="12"/>
      <x:c r="C227" s="12"/>
      <x:c r="D227" s="18"/>
      <x:c r="E227" s="12"/>
      <x:c r="F227" s="12"/>
      <x:c r="G227" s="12"/>
      <x:c r="H227" s="12"/>
      <x:c r="I227" s="18"/>
      <x:c r="J227" s="18" t="str">
        <x:f>IFERROR(IF(OR(E227="",H227&lt;&gt;"Sí"),"",MAX(1,DATEDIF(TODAY(),E227,"M")+1)),"")</x:f>
      </x:c>
      <x:c r="K227" s="18" t="str">
        <x:f>IFERROR(IF(OR(H227&lt;&gt;"Sí",D227&lt;=0,J227=""),"",MAX(0,D227-I227)/J227),"")</x:f>
      </x:c>
      <x:c r="L227" s="12"/>
      <x:c r="M227" s="12"/>
      <x:c r="N227" s="12"/>
    </x:row>
    <x:row r="228">
      <x:c r="A228" s="12"/>
      <x:c r="B228" s="12"/>
      <x:c r="C228" s="12"/>
      <x:c r="D228" s="18"/>
      <x:c r="E228" s="12"/>
      <x:c r="F228" s="12"/>
      <x:c r="G228" s="12"/>
      <x:c r="H228" s="12"/>
      <x:c r="I228" s="18"/>
      <x:c r="J228" s="18" t="str">
        <x:f>IFERROR(IF(OR(E228="",H228&lt;&gt;"Sí"),"",MAX(1,DATEDIF(TODAY(),E228,"M")+1)),"")</x:f>
      </x:c>
      <x:c r="K228" s="18" t="str">
        <x:f>IFERROR(IF(OR(H228&lt;&gt;"Sí",D228&lt;=0,J228=""),"",MAX(0,D228-I228)/J228),"")</x:f>
      </x:c>
      <x:c r="L228" s="12"/>
      <x:c r="M228" s="12"/>
      <x:c r="N228" s="12"/>
    </x:row>
    <x:row r="229">
      <x:c r="A229" s="12"/>
      <x:c r="B229" s="12"/>
      <x:c r="C229" s="12"/>
      <x:c r="D229" s="18"/>
      <x:c r="E229" s="12"/>
      <x:c r="F229" s="12"/>
      <x:c r="G229" s="12"/>
      <x:c r="H229" s="12"/>
      <x:c r="I229" s="18"/>
      <x:c r="J229" s="18" t="str">
        <x:f>IFERROR(IF(OR(E229="",H229&lt;&gt;"Sí"),"",MAX(1,DATEDIF(TODAY(),E229,"M")+1)),"")</x:f>
      </x:c>
      <x:c r="K229" s="18" t="str">
        <x:f>IFERROR(IF(OR(H229&lt;&gt;"Sí",D229&lt;=0,J229=""),"",MAX(0,D229-I229)/J229),"")</x:f>
      </x:c>
      <x:c r="L229" s="12"/>
      <x:c r="M229" s="12"/>
      <x:c r="N229" s="12"/>
    </x:row>
    <x:row r="230">
      <x:c r="A230" s="12"/>
      <x:c r="B230" s="12"/>
      <x:c r="C230" s="12"/>
      <x:c r="D230" s="18"/>
      <x:c r="E230" s="12"/>
      <x:c r="F230" s="12"/>
      <x:c r="G230" s="12"/>
      <x:c r="H230" s="12"/>
      <x:c r="I230" s="18"/>
      <x:c r="J230" s="18" t="str">
        <x:f>IFERROR(IF(OR(E230="",H230&lt;&gt;"Sí"),"",MAX(1,DATEDIF(TODAY(),E230,"M")+1)),"")</x:f>
      </x:c>
      <x:c r="K230" s="18" t="str">
        <x:f>IFERROR(IF(OR(H230&lt;&gt;"Sí",D230&lt;=0,J230=""),"",MAX(0,D230-I230)/J230),"")</x:f>
      </x:c>
      <x:c r="L230" s="12"/>
      <x:c r="M230" s="12"/>
      <x:c r="N230" s="12"/>
    </x:row>
    <x:row r="231">
      <x:c r="A231" s="12"/>
      <x:c r="B231" s="12"/>
      <x:c r="C231" s="12"/>
      <x:c r="D231" s="18"/>
      <x:c r="E231" s="12"/>
      <x:c r="F231" s="12"/>
      <x:c r="G231" s="12"/>
      <x:c r="H231" s="12"/>
      <x:c r="I231" s="18"/>
      <x:c r="J231" s="18" t="str">
        <x:f>IFERROR(IF(OR(E231="",H231&lt;&gt;"Sí"),"",MAX(1,DATEDIF(TODAY(),E231,"M")+1)),"")</x:f>
      </x:c>
      <x:c r="K231" s="18" t="str">
        <x:f>IFERROR(IF(OR(H231&lt;&gt;"Sí",D231&lt;=0,J231=""),"",MAX(0,D231-I231)/J231),"")</x:f>
      </x:c>
      <x:c r="L231" s="12"/>
      <x:c r="M231" s="12"/>
      <x:c r="N231" s="12"/>
    </x:row>
    <x:row r="232">
      <x:c r="A232" s="12"/>
      <x:c r="B232" s="12"/>
      <x:c r="C232" s="12"/>
      <x:c r="D232" s="18"/>
      <x:c r="E232" s="12"/>
      <x:c r="F232" s="12"/>
      <x:c r="G232" s="12"/>
      <x:c r="H232" s="12"/>
      <x:c r="I232" s="18"/>
      <x:c r="J232" s="18" t="str">
        <x:f>IFERROR(IF(OR(E232="",H232&lt;&gt;"Sí"),"",MAX(1,DATEDIF(TODAY(),E232,"M")+1)),"")</x:f>
      </x:c>
      <x:c r="K232" s="18" t="str">
        <x:f>IFERROR(IF(OR(H232&lt;&gt;"Sí",D232&lt;=0,J232=""),"",MAX(0,D232-I232)/J232),"")</x:f>
      </x:c>
      <x:c r="L232" s="12"/>
      <x:c r="M232" s="12"/>
      <x:c r="N232" s="12"/>
    </x:row>
    <x:row r="233">
      <x:c r="A233" s="12"/>
      <x:c r="B233" s="12"/>
      <x:c r="C233" s="12"/>
      <x:c r="D233" s="18"/>
      <x:c r="E233" s="12"/>
      <x:c r="F233" s="12"/>
      <x:c r="G233" s="12"/>
      <x:c r="H233" s="12"/>
      <x:c r="I233" s="18"/>
      <x:c r="J233" s="18" t="str">
        <x:f>IFERROR(IF(OR(E233="",H233&lt;&gt;"Sí"),"",MAX(1,DATEDIF(TODAY(),E233,"M")+1)),"")</x:f>
      </x:c>
      <x:c r="K233" s="18" t="str">
        <x:f>IFERROR(IF(OR(H233&lt;&gt;"Sí",D233&lt;=0,J233=""),"",MAX(0,D233-I233)/J233),"")</x:f>
      </x:c>
      <x:c r="L233" s="12"/>
      <x:c r="M233" s="12"/>
      <x:c r="N233" s="12"/>
    </x:row>
    <x:row r="234">
      <x:c r="A234" s="12"/>
      <x:c r="B234" s="12"/>
      <x:c r="C234" s="12"/>
      <x:c r="D234" s="18"/>
      <x:c r="E234" s="12"/>
      <x:c r="F234" s="12"/>
      <x:c r="G234" s="12"/>
      <x:c r="H234" s="12"/>
      <x:c r="I234" s="18"/>
      <x:c r="J234" s="18" t="str">
        <x:f>IFERROR(IF(OR(E234="",H234&lt;&gt;"Sí"),"",MAX(1,DATEDIF(TODAY(),E234,"M")+1)),"")</x:f>
      </x:c>
      <x:c r="K234" s="18" t="str">
        <x:f>IFERROR(IF(OR(H234&lt;&gt;"Sí",D234&lt;=0,J234=""),"",MAX(0,D234-I234)/J234),"")</x:f>
      </x:c>
      <x:c r="L234" s="12"/>
      <x:c r="M234" s="12"/>
      <x:c r="N234" s="12"/>
    </x:row>
    <x:row r="235">
      <x:c r="A235" s="12"/>
      <x:c r="B235" s="12"/>
      <x:c r="C235" s="12"/>
      <x:c r="D235" s="18"/>
      <x:c r="E235" s="12"/>
      <x:c r="F235" s="12"/>
      <x:c r="G235" s="12"/>
      <x:c r="H235" s="12"/>
      <x:c r="I235" s="18"/>
      <x:c r="J235" s="18" t="str">
        <x:f>IFERROR(IF(OR(E235="",H235&lt;&gt;"Sí"),"",MAX(1,DATEDIF(TODAY(),E235,"M")+1)),"")</x:f>
      </x:c>
      <x:c r="K235" s="18" t="str">
        <x:f>IFERROR(IF(OR(H235&lt;&gt;"Sí",D235&lt;=0,J235=""),"",MAX(0,D235-I235)/J235),"")</x:f>
      </x:c>
      <x:c r="L235" s="12"/>
      <x:c r="M235" s="12"/>
      <x:c r="N235" s="12"/>
    </x:row>
    <x:row r="236">
      <x:c r="A236" s="12"/>
      <x:c r="B236" s="12"/>
      <x:c r="C236" s="12"/>
      <x:c r="D236" s="18"/>
      <x:c r="E236" s="12"/>
      <x:c r="F236" s="12"/>
      <x:c r="G236" s="12"/>
      <x:c r="H236" s="12"/>
      <x:c r="I236" s="18"/>
      <x:c r="J236" s="18" t="str">
        <x:f>IFERROR(IF(OR(E236="",H236&lt;&gt;"Sí"),"",MAX(1,DATEDIF(TODAY(),E236,"M")+1)),"")</x:f>
      </x:c>
      <x:c r="K236" s="18" t="str">
        <x:f>IFERROR(IF(OR(H236&lt;&gt;"Sí",D236&lt;=0,J236=""),"",MAX(0,D236-I236)/J236),"")</x:f>
      </x:c>
      <x:c r="L236" s="12"/>
      <x:c r="M236" s="12"/>
      <x:c r="N236" s="12"/>
    </x:row>
    <x:row r="237">
      <x:c r="A237" s="12"/>
      <x:c r="B237" s="12"/>
      <x:c r="C237" s="12"/>
      <x:c r="D237" s="18"/>
      <x:c r="E237" s="12"/>
      <x:c r="F237" s="12"/>
      <x:c r="G237" s="12"/>
      <x:c r="H237" s="12"/>
      <x:c r="I237" s="18"/>
      <x:c r="J237" s="18" t="str">
        <x:f>IFERROR(IF(OR(E237="",H237&lt;&gt;"Sí"),"",MAX(1,DATEDIF(TODAY(),E237,"M")+1)),"")</x:f>
      </x:c>
      <x:c r="K237" s="18" t="str">
        <x:f>IFERROR(IF(OR(H237&lt;&gt;"Sí",D237&lt;=0,J237=""),"",MAX(0,D237-I237)/J237),"")</x:f>
      </x:c>
      <x:c r="L237" s="12"/>
      <x:c r="M237" s="12"/>
      <x:c r="N237" s="12"/>
    </x:row>
    <x:row r="238">
      <x:c r="A238" s="12"/>
      <x:c r="B238" s="12"/>
      <x:c r="C238" s="12"/>
      <x:c r="D238" s="18"/>
      <x:c r="E238" s="12"/>
      <x:c r="F238" s="12"/>
      <x:c r="G238" s="12"/>
      <x:c r="H238" s="12"/>
      <x:c r="I238" s="18"/>
      <x:c r="J238" s="18" t="str">
        <x:f>IFERROR(IF(OR(E238="",H238&lt;&gt;"Sí"),"",MAX(1,DATEDIF(TODAY(),E238,"M")+1)),"")</x:f>
      </x:c>
      <x:c r="K238" s="18" t="str">
        <x:f>IFERROR(IF(OR(H238&lt;&gt;"Sí",D238&lt;=0,J238=""),"",MAX(0,D238-I238)/J238),"")</x:f>
      </x:c>
      <x:c r="L238" s="12"/>
      <x:c r="M238" s="12"/>
      <x:c r="N238" s="12"/>
    </x:row>
    <x:row r="239">
      <x:c r="A239" s="12"/>
      <x:c r="B239" s="12"/>
      <x:c r="C239" s="12"/>
      <x:c r="D239" s="18"/>
      <x:c r="E239" s="12"/>
      <x:c r="F239" s="12"/>
      <x:c r="G239" s="12"/>
      <x:c r="H239" s="12"/>
      <x:c r="I239" s="18"/>
      <x:c r="J239" s="18" t="str">
        <x:f>IFERROR(IF(OR(E239="",H239&lt;&gt;"Sí"),"",MAX(1,DATEDIF(TODAY(),E239,"M")+1)),"")</x:f>
      </x:c>
      <x:c r="K239" s="18" t="str">
        <x:f>IFERROR(IF(OR(H239&lt;&gt;"Sí",D239&lt;=0,J239=""),"",MAX(0,D239-I239)/J239),"")</x:f>
      </x:c>
      <x:c r="L239" s="12"/>
      <x:c r="M239" s="12"/>
      <x:c r="N239" s="12"/>
    </x:row>
    <x:row r="240">
      <x:c r="A240" s="12"/>
      <x:c r="B240" s="12"/>
      <x:c r="C240" s="12"/>
      <x:c r="D240" s="18"/>
      <x:c r="E240" s="12"/>
      <x:c r="F240" s="12"/>
      <x:c r="G240" s="12"/>
      <x:c r="H240" s="12"/>
      <x:c r="I240" s="18"/>
      <x:c r="J240" s="18" t="str">
        <x:f>IFERROR(IF(OR(E240="",H240&lt;&gt;"Sí"),"",MAX(1,DATEDIF(TODAY(),E240,"M")+1)),"")</x:f>
      </x:c>
      <x:c r="K240" s="18" t="str">
        <x:f>IFERROR(IF(OR(H240&lt;&gt;"Sí",D240&lt;=0,J240=""),"",MAX(0,D240-I240)/J240),"")</x:f>
      </x:c>
      <x:c r="L240" s="12"/>
      <x:c r="M240" s="12"/>
      <x:c r="N240" s="12"/>
    </x:row>
    <x:row r="241">
      <x:c r="A241" s="12"/>
      <x:c r="B241" s="12"/>
      <x:c r="C241" s="12"/>
      <x:c r="D241" s="18"/>
      <x:c r="E241" s="12"/>
      <x:c r="F241" s="12"/>
      <x:c r="G241" s="12"/>
      <x:c r="H241" s="12"/>
      <x:c r="I241" s="18"/>
      <x:c r="J241" s="18" t="str">
        <x:f>IFERROR(IF(OR(E241="",H241&lt;&gt;"Sí"),"",MAX(1,DATEDIF(TODAY(),E241,"M")+1)),"")</x:f>
      </x:c>
      <x:c r="K241" s="18" t="str">
        <x:f>IFERROR(IF(OR(H241&lt;&gt;"Sí",D241&lt;=0,J241=""),"",MAX(0,D241-I241)/J241),"")</x:f>
      </x:c>
      <x:c r="L241" s="12"/>
      <x:c r="M241" s="12"/>
      <x:c r="N241" s="12"/>
    </x:row>
    <x:row r="242">
      <x:c r="A242" s="12"/>
      <x:c r="B242" s="12"/>
      <x:c r="C242" s="12"/>
      <x:c r="D242" s="18"/>
      <x:c r="E242" s="12"/>
      <x:c r="F242" s="12"/>
      <x:c r="G242" s="12"/>
      <x:c r="H242" s="12"/>
      <x:c r="I242" s="18"/>
      <x:c r="J242" s="18" t="str">
        <x:f>IFERROR(IF(OR(E242="",H242&lt;&gt;"Sí"),"",MAX(1,DATEDIF(TODAY(),E242,"M")+1)),"")</x:f>
      </x:c>
      <x:c r="K242" s="18" t="str">
        <x:f>IFERROR(IF(OR(H242&lt;&gt;"Sí",D242&lt;=0,J242=""),"",MAX(0,D242-I242)/J242),"")</x:f>
      </x:c>
      <x:c r="L242" s="12"/>
      <x:c r="M242" s="12"/>
      <x:c r="N242" s="12"/>
    </x:row>
    <x:row r="243">
      <x:c r="A243" s="12"/>
      <x:c r="B243" s="12"/>
      <x:c r="C243" s="12"/>
      <x:c r="D243" s="18"/>
      <x:c r="E243" s="12"/>
      <x:c r="F243" s="12"/>
      <x:c r="G243" s="12"/>
      <x:c r="H243" s="12"/>
      <x:c r="I243" s="18"/>
      <x:c r="J243" s="18" t="str">
        <x:f>IFERROR(IF(OR(E243="",H243&lt;&gt;"Sí"),"",MAX(1,DATEDIF(TODAY(),E243,"M")+1)),"")</x:f>
      </x:c>
      <x:c r="K243" s="18" t="str">
        <x:f>IFERROR(IF(OR(H243&lt;&gt;"Sí",D243&lt;=0,J243=""),"",MAX(0,D243-I243)/J243),"")</x:f>
      </x:c>
      <x:c r="L243" s="12"/>
      <x:c r="M243" s="12"/>
      <x:c r="N243" s="12"/>
    </x:row>
    <x:row r="244">
      <x:c r="A244" s="12"/>
      <x:c r="B244" s="12"/>
      <x:c r="C244" s="12"/>
      <x:c r="D244" s="18"/>
      <x:c r="E244" s="12"/>
      <x:c r="F244" s="12"/>
      <x:c r="G244" s="12"/>
      <x:c r="H244" s="12"/>
      <x:c r="I244" s="18"/>
      <x:c r="J244" s="18" t="str">
        <x:f>IFERROR(IF(OR(E244="",H244&lt;&gt;"Sí"),"",MAX(1,DATEDIF(TODAY(),E244,"M")+1)),"")</x:f>
      </x:c>
      <x:c r="K244" s="18" t="str">
        <x:f>IFERROR(IF(OR(H244&lt;&gt;"Sí",D244&lt;=0,J244=""),"",MAX(0,D244-I244)/J244),"")</x:f>
      </x:c>
      <x:c r="L244" s="12"/>
      <x:c r="M244" s="12"/>
      <x:c r="N244" s="12"/>
    </x:row>
    <x:row r="245">
      <x:c r="A245" s="12"/>
      <x:c r="B245" s="12"/>
      <x:c r="C245" s="12"/>
      <x:c r="D245" s="18"/>
      <x:c r="E245" s="12"/>
      <x:c r="F245" s="12"/>
      <x:c r="G245" s="12"/>
      <x:c r="H245" s="12"/>
      <x:c r="I245" s="18"/>
      <x:c r="J245" s="18" t="str">
        <x:f>IFERROR(IF(OR(E245="",H245&lt;&gt;"Sí"),"",MAX(1,DATEDIF(TODAY(),E245,"M")+1)),"")</x:f>
      </x:c>
      <x:c r="K245" s="18" t="str">
        <x:f>IFERROR(IF(OR(H245&lt;&gt;"Sí",D245&lt;=0,J245=""),"",MAX(0,D245-I245)/J245),"")</x:f>
      </x:c>
      <x:c r="L245" s="12"/>
      <x:c r="M245" s="12"/>
      <x:c r="N245" s="12"/>
    </x:row>
    <x:row r="246">
      <x:c r="A246" s="12"/>
      <x:c r="B246" s="12"/>
      <x:c r="C246" s="12"/>
      <x:c r="D246" s="18"/>
      <x:c r="E246" s="12"/>
      <x:c r="F246" s="12"/>
      <x:c r="G246" s="12"/>
      <x:c r="H246" s="12"/>
      <x:c r="I246" s="18"/>
      <x:c r="J246" s="18" t="str">
        <x:f>IFERROR(IF(OR(E246="",H246&lt;&gt;"Sí"),"",MAX(1,DATEDIF(TODAY(),E246,"M")+1)),"")</x:f>
      </x:c>
      <x:c r="K246" s="18" t="str">
        <x:f>IFERROR(IF(OR(H246&lt;&gt;"Sí",D246&lt;=0,J246=""),"",MAX(0,D246-I246)/J246),"")</x:f>
      </x:c>
      <x:c r="L246" s="12"/>
      <x:c r="M246" s="12"/>
      <x:c r="N246" s="12"/>
    </x:row>
    <x:row r="247">
      <x:c r="A247" s="12"/>
      <x:c r="B247" s="12"/>
      <x:c r="C247" s="12"/>
      <x:c r="D247" s="18"/>
      <x:c r="E247" s="12"/>
      <x:c r="F247" s="12"/>
      <x:c r="G247" s="12"/>
      <x:c r="H247" s="12"/>
      <x:c r="I247" s="18"/>
      <x:c r="J247" s="18" t="str">
        <x:f>IFERROR(IF(OR(E247="",H247&lt;&gt;"Sí"),"",MAX(1,DATEDIF(TODAY(),E247,"M")+1)),"")</x:f>
      </x:c>
      <x:c r="K247" s="18" t="str">
        <x:f>IFERROR(IF(OR(H247&lt;&gt;"Sí",D247&lt;=0,J247=""),"",MAX(0,D247-I247)/J247),"")</x:f>
      </x:c>
      <x:c r="L247" s="12"/>
      <x:c r="M247" s="12"/>
      <x:c r="N247" s="12"/>
    </x:row>
    <x:row r="248">
      <x:c r="A248" s="12"/>
      <x:c r="B248" s="12"/>
      <x:c r="C248" s="12"/>
      <x:c r="D248" s="18"/>
      <x:c r="E248" s="12"/>
      <x:c r="F248" s="12"/>
      <x:c r="G248" s="12"/>
      <x:c r="H248" s="12"/>
      <x:c r="I248" s="18"/>
      <x:c r="J248" s="18" t="str">
        <x:f>IFERROR(IF(OR(E248="",H248&lt;&gt;"Sí"),"",MAX(1,DATEDIF(TODAY(),E248,"M")+1)),"")</x:f>
      </x:c>
      <x:c r="K248" s="18" t="str">
        <x:f>IFERROR(IF(OR(H248&lt;&gt;"Sí",D248&lt;=0,J248=""),"",MAX(0,D248-I248)/J248),"")</x:f>
      </x:c>
      <x:c r="L248" s="12"/>
      <x:c r="M248" s="12"/>
      <x:c r="N248" s="12"/>
    </x:row>
    <x:row r="249">
      <x:c r="A249" s="12"/>
      <x:c r="B249" s="12"/>
      <x:c r="C249" s="12"/>
      <x:c r="D249" s="18"/>
      <x:c r="E249" s="12"/>
      <x:c r="F249" s="12"/>
      <x:c r="G249" s="12"/>
      <x:c r="H249" s="12"/>
      <x:c r="I249" s="18"/>
      <x:c r="J249" s="18" t="str">
        <x:f>IFERROR(IF(OR(E249="",H249&lt;&gt;"Sí"),"",MAX(1,DATEDIF(TODAY(),E249,"M")+1)),"")</x:f>
      </x:c>
      <x:c r="K249" s="18" t="str">
        <x:f>IFERROR(IF(OR(H249&lt;&gt;"Sí",D249&lt;=0,J249=""),"",MAX(0,D249-I249)/J249),"")</x:f>
      </x:c>
      <x:c r="L249" s="12"/>
      <x:c r="M249" s="12"/>
      <x:c r="N249" s="12"/>
    </x:row>
    <x:row r="250">
      <x:c r="A250" s="12"/>
      <x:c r="B250" s="12"/>
      <x:c r="C250" s="12"/>
      <x:c r="D250" s="18"/>
      <x:c r="E250" s="12"/>
      <x:c r="F250" s="12"/>
      <x:c r="G250" s="12"/>
      <x:c r="H250" s="12"/>
      <x:c r="I250" s="18"/>
      <x:c r="J250" s="18" t="str">
        <x:f>IFERROR(IF(OR(E250="",H250&lt;&gt;"Sí"),"",MAX(1,DATEDIF(TODAY(),E250,"M")+1)),"")</x:f>
      </x:c>
      <x:c r="K250" s="18" t="str">
        <x:f>IFERROR(IF(OR(H250&lt;&gt;"Sí",D250&lt;=0,J250=""),"",MAX(0,D250-I250)/J250),"")</x:f>
      </x:c>
      <x:c r="L250" s="12"/>
      <x:c r="M250" s="12"/>
      <x:c r="N250" s="12"/>
    </x:row>
    <x:row r="251">
      <x:c r="A251" s="12"/>
      <x:c r="B251" s="12"/>
      <x:c r="C251" s="12"/>
      <x:c r="D251" s="18"/>
      <x:c r="E251" s="12"/>
      <x:c r="F251" s="12"/>
      <x:c r="G251" s="12"/>
      <x:c r="H251" s="12"/>
      <x:c r="I251" s="18"/>
      <x:c r="J251" s="18" t="str">
        <x:f>IFERROR(IF(OR(E251="",H251&lt;&gt;"Sí"),"",MAX(1,DATEDIF(TODAY(),E251,"M")+1)),"")</x:f>
      </x:c>
      <x:c r="K251" s="18" t="str">
        <x:f>IFERROR(IF(OR(H251&lt;&gt;"Sí",D251&lt;=0,J251=""),"",MAX(0,D251-I251)/J251),"")</x:f>
      </x:c>
      <x:c r="L251" s="12"/>
      <x:c r="M251" s="12"/>
      <x:c r="N251" s="12"/>
    </x:row>
    <x:row r="252">
      <x:c r="A252" s="12"/>
      <x:c r="B252" s="12"/>
      <x:c r="C252" s="12"/>
      <x:c r="D252" s="18"/>
      <x:c r="E252" s="12"/>
      <x:c r="F252" s="12"/>
      <x:c r="G252" s="12"/>
      <x:c r="H252" s="12"/>
      <x:c r="I252" s="18"/>
      <x:c r="J252" s="18" t="str">
        <x:f>IFERROR(IF(OR(E252="",H252&lt;&gt;"Sí"),"",MAX(1,DATEDIF(TODAY(),E252,"M")+1)),"")</x:f>
      </x:c>
      <x:c r="K252" s="18" t="str">
        <x:f>IFERROR(IF(OR(H252&lt;&gt;"Sí",D252&lt;=0,J252=""),"",MAX(0,D252-I252)/J252),"")</x:f>
      </x:c>
      <x:c r="L252" s="12"/>
      <x:c r="M252" s="12"/>
      <x:c r="N252" s="12"/>
    </x:row>
    <x:row r="253">
      <x:c r="A253" s="12"/>
      <x:c r="B253" s="12"/>
      <x:c r="C253" s="12"/>
      <x:c r="D253" s="18"/>
      <x:c r="E253" s="12"/>
      <x:c r="F253" s="12"/>
      <x:c r="G253" s="12"/>
      <x:c r="H253" s="12"/>
      <x:c r="I253" s="18"/>
      <x:c r="J253" s="18" t="str">
        <x:f>IFERROR(IF(OR(E253="",H253&lt;&gt;"Sí"),"",MAX(1,DATEDIF(TODAY(),E253,"M")+1)),"")</x:f>
      </x:c>
      <x:c r="K253" s="18" t="str">
        <x:f>IFERROR(IF(OR(H253&lt;&gt;"Sí",D253&lt;=0,J253=""),"",MAX(0,D253-I253)/J253),"")</x:f>
      </x:c>
      <x:c r="L253" s="12"/>
      <x:c r="M253" s="12"/>
      <x:c r="N253" s="12"/>
    </x:row>
    <x:row r="254">
      <x:c r="A254" s="12"/>
      <x:c r="B254" s="12"/>
      <x:c r="C254" s="12"/>
      <x:c r="D254" s="18"/>
      <x:c r="E254" s="12"/>
      <x:c r="F254" s="12"/>
      <x:c r="G254" s="12"/>
      <x:c r="H254" s="12"/>
      <x:c r="I254" s="18"/>
      <x:c r="J254" s="18" t="str">
        <x:f>IFERROR(IF(OR(E254="",H254&lt;&gt;"Sí"),"",MAX(1,DATEDIF(TODAY(),E254,"M")+1)),"")</x:f>
      </x:c>
      <x:c r="K254" s="18" t="str">
        <x:f>IFERROR(IF(OR(H254&lt;&gt;"Sí",D254&lt;=0,J254=""),"",MAX(0,D254-I254)/J254),"")</x:f>
      </x:c>
      <x:c r="L254" s="12"/>
      <x:c r="M254" s="12"/>
      <x:c r="N254" s="12"/>
    </x:row>
    <x:row r="255">
      <x:c r="A255" s="12"/>
      <x:c r="B255" s="12"/>
      <x:c r="C255" s="12"/>
      <x:c r="D255" s="18"/>
      <x:c r="E255" s="12"/>
      <x:c r="F255" s="12"/>
      <x:c r="G255" s="12"/>
      <x:c r="H255" s="12"/>
      <x:c r="I255" s="18"/>
      <x:c r="J255" s="18" t="str">
        <x:f>IFERROR(IF(OR(E255="",H255&lt;&gt;"Sí"),"",MAX(1,DATEDIF(TODAY(),E255,"M")+1)),"")</x:f>
      </x:c>
      <x:c r="K255" s="18" t="str">
        <x:f>IFERROR(IF(OR(H255&lt;&gt;"Sí",D255&lt;=0,J255=""),"",MAX(0,D255-I255)/J255),"")</x:f>
      </x:c>
      <x:c r="L255" s="12"/>
      <x:c r="M255" s="12"/>
      <x:c r="N255" s="12"/>
    </x:row>
    <x:row r="256">
      <x:c r="A256" s="12"/>
      <x:c r="B256" s="12"/>
      <x:c r="C256" s="12"/>
      <x:c r="D256" s="18"/>
      <x:c r="E256" s="12"/>
      <x:c r="F256" s="12"/>
      <x:c r="G256" s="12"/>
      <x:c r="H256" s="12"/>
      <x:c r="I256" s="18"/>
      <x:c r="J256" s="18" t="str">
        <x:f>IFERROR(IF(OR(E256="",H256&lt;&gt;"Sí"),"",MAX(1,DATEDIF(TODAY(),E256,"M")+1)),"")</x:f>
      </x:c>
      <x:c r="K256" s="18" t="str">
        <x:f>IFERROR(IF(OR(H256&lt;&gt;"Sí",D256&lt;=0,J256=""),"",MAX(0,D256-I256)/J256),"")</x:f>
      </x:c>
      <x:c r="L256" s="12"/>
      <x:c r="M256" s="12"/>
      <x:c r="N256" s="12"/>
    </x:row>
    <x:row r="257">
      <x:c r="A257" s="12"/>
      <x:c r="B257" s="12"/>
      <x:c r="C257" s="12"/>
      <x:c r="D257" s="18"/>
      <x:c r="E257" s="12"/>
      <x:c r="F257" s="12"/>
      <x:c r="G257" s="12"/>
      <x:c r="H257" s="12"/>
      <x:c r="I257" s="18"/>
      <x:c r="J257" s="18" t="str">
        <x:f>IFERROR(IF(OR(E257="",H257&lt;&gt;"Sí"),"",MAX(1,DATEDIF(TODAY(),E257,"M")+1)),"")</x:f>
      </x:c>
      <x:c r="K257" s="18" t="str">
        <x:f>IFERROR(IF(OR(H257&lt;&gt;"Sí",D257&lt;=0,J257=""),"",MAX(0,D257-I257)/J257),"")</x:f>
      </x:c>
      <x:c r="L257" s="12"/>
      <x:c r="M257" s="12"/>
      <x:c r="N257" s="12"/>
    </x:row>
    <x:row r="258">
      <x:c r="A258" s="12"/>
      <x:c r="B258" s="12"/>
      <x:c r="C258" s="12"/>
      <x:c r="D258" s="18"/>
      <x:c r="E258" s="12"/>
      <x:c r="F258" s="12"/>
      <x:c r="G258" s="12"/>
      <x:c r="H258" s="12"/>
      <x:c r="I258" s="18"/>
      <x:c r="J258" s="18" t="str">
        <x:f>IFERROR(IF(OR(E258="",H258&lt;&gt;"Sí"),"",MAX(1,DATEDIF(TODAY(),E258,"M")+1)),"")</x:f>
      </x:c>
      <x:c r="K258" s="18" t="str">
        <x:f>IFERROR(IF(OR(H258&lt;&gt;"Sí",D258&lt;=0,J258=""),"",MAX(0,D258-I258)/J258),"")</x:f>
      </x:c>
      <x:c r="L258" s="12"/>
      <x:c r="M258" s="12"/>
      <x:c r="N258" s="12"/>
    </x:row>
    <x:row r="259">
      <x:c r="A259" s="12"/>
      <x:c r="B259" s="12"/>
      <x:c r="C259" s="12"/>
      <x:c r="D259" s="18"/>
      <x:c r="E259" s="12"/>
      <x:c r="F259" s="12"/>
      <x:c r="G259" s="12"/>
      <x:c r="H259" s="12"/>
      <x:c r="I259" s="18"/>
      <x:c r="J259" s="18" t="str">
        <x:f>IFERROR(IF(OR(E259="",H259&lt;&gt;"Sí"),"",MAX(1,DATEDIF(TODAY(),E259,"M")+1)),"")</x:f>
      </x:c>
      <x:c r="K259" s="18" t="str">
        <x:f>IFERROR(IF(OR(H259&lt;&gt;"Sí",D259&lt;=0,J259=""),"",MAX(0,D259-I259)/J259),"")</x:f>
      </x:c>
      <x:c r="L259" s="12"/>
      <x:c r="M259" s="12"/>
      <x:c r="N259" s="12"/>
    </x:row>
    <x:row r="260">
      <x:c r="A260" s="12"/>
      <x:c r="B260" s="12"/>
      <x:c r="C260" s="12"/>
      <x:c r="D260" s="18"/>
      <x:c r="E260" s="12"/>
      <x:c r="F260" s="12"/>
      <x:c r="G260" s="12"/>
      <x:c r="H260" s="12"/>
      <x:c r="I260" s="18"/>
      <x:c r="J260" s="18" t="str">
        <x:f>IFERROR(IF(OR(E260="",H260&lt;&gt;"Sí"),"",MAX(1,DATEDIF(TODAY(),E260,"M")+1)),"")</x:f>
      </x:c>
      <x:c r="K260" s="18" t="str">
        <x:f>IFERROR(IF(OR(H260&lt;&gt;"Sí",D260&lt;=0,J260=""),"",MAX(0,D260-I260)/J260),"")</x:f>
      </x:c>
      <x:c r="L260" s="12"/>
      <x:c r="M260" s="12"/>
      <x:c r="N260" s="12"/>
    </x:row>
    <x:row r="261">
      <x:c r="A261" s="12"/>
      <x:c r="B261" s="12"/>
      <x:c r="C261" s="12"/>
      <x:c r="D261" s="18"/>
      <x:c r="E261" s="12"/>
      <x:c r="F261" s="12"/>
      <x:c r="G261" s="12"/>
      <x:c r="H261" s="12"/>
      <x:c r="I261" s="18"/>
      <x:c r="J261" s="18" t="str">
        <x:f>IFERROR(IF(OR(E261="",H261&lt;&gt;"Sí"),"",MAX(1,DATEDIF(TODAY(),E261,"M")+1)),"")</x:f>
      </x:c>
      <x:c r="K261" s="18" t="str">
        <x:f>IFERROR(IF(OR(H261&lt;&gt;"Sí",D261&lt;=0,J261=""),"",MAX(0,D261-I261)/J261),"")</x:f>
      </x:c>
      <x:c r="L261" s="12"/>
      <x:c r="M261" s="12"/>
      <x:c r="N261" s="12"/>
    </x:row>
    <x:row r="262">
      <x:c r="A262" s="12"/>
      <x:c r="B262" s="12"/>
      <x:c r="C262" s="12"/>
      <x:c r="D262" s="18"/>
      <x:c r="E262" s="12"/>
      <x:c r="F262" s="12"/>
      <x:c r="G262" s="12"/>
      <x:c r="H262" s="12"/>
      <x:c r="I262" s="18"/>
      <x:c r="J262" s="18" t="str">
        <x:f>IFERROR(IF(OR(E262="",H262&lt;&gt;"Sí"),"",MAX(1,DATEDIF(TODAY(),E262,"M")+1)),"")</x:f>
      </x:c>
      <x:c r="K262" s="18" t="str">
        <x:f>IFERROR(IF(OR(H262&lt;&gt;"Sí",D262&lt;=0,J262=""),"",MAX(0,D262-I262)/J262),"")</x:f>
      </x:c>
      <x:c r="L262" s="12"/>
      <x:c r="M262" s="12"/>
      <x:c r="N262" s="12"/>
    </x:row>
    <x:row r="263">
      <x:c r="A263" s="12"/>
      <x:c r="B263" s="12"/>
      <x:c r="C263" s="12"/>
      <x:c r="D263" s="18"/>
      <x:c r="E263" s="12"/>
      <x:c r="F263" s="12"/>
      <x:c r="G263" s="12"/>
      <x:c r="H263" s="12"/>
      <x:c r="I263" s="18"/>
      <x:c r="J263" s="18" t="str">
        <x:f>IFERROR(IF(OR(E263="",H263&lt;&gt;"Sí"),"",MAX(1,DATEDIF(TODAY(),E263,"M")+1)),"")</x:f>
      </x:c>
      <x:c r="K263" s="18" t="str">
        <x:f>IFERROR(IF(OR(H263&lt;&gt;"Sí",D263&lt;=0,J263=""),"",MAX(0,D263-I263)/J263),"")</x:f>
      </x:c>
      <x:c r="L263" s="12"/>
      <x:c r="M263" s="12"/>
      <x:c r="N263" s="12"/>
    </x:row>
    <x:row r="264">
      <x:c r="A264" s="12"/>
      <x:c r="B264" s="12"/>
      <x:c r="C264" s="12"/>
      <x:c r="D264" s="18"/>
      <x:c r="E264" s="12"/>
      <x:c r="F264" s="12"/>
      <x:c r="G264" s="12"/>
      <x:c r="H264" s="12"/>
      <x:c r="I264" s="18"/>
      <x:c r="J264" s="18" t="str">
        <x:f>IFERROR(IF(OR(E264="",H264&lt;&gt;"Sí"),"",MAX(1,DATEDIF(TODAY(),E264,"M")+1)),"")</x:f>
      </x:c>
      <x:c r="K264" s="18" t="str">
        <x:f>IFERROR(IF(OR(H264&lt;&gt;"Sí",D264&lt;=0,J264=""),"",MAX(0,D264-I264)/J264),"")</x:f>
      </x:c>
      <x:c r="L264" s="12"/>
      <x:c r="M264" s="12"/>
      <x:c r="N264" s="12"/>
    </x:row>
    <x:row r="265">
      <x:c r="A265" s="12"/>
      <x:c r="B265" s="12"/>
      <x:c r="C265" s="12"/>
      <x:c r="D265" s="18"/>
      <x:c r="E265" s="12"/>
      <x:c r="F265" s="12"/>
      <x:c r="G265" s="12"/>
      <x:c r="H265" s="12"/>
      <x:c r="I265" s="18"/>
      <x:c r="J265" s="18" t="str">
        <x:f>IFERROR(IF(OR(E265="",H265&lt;&gt;"Sí"),"",MAX(1,DATEDIF(TODAY(),E265,"M")+1)),"")</x:f>
      </x:c>
      <x:c r="K265" s="18" t="str">
        <x:f>IFERROR(IF(OR(H265&lt;&gt;"Sí",D265&lt;=0,J265=""),"",MAX(0,D265-I265)/J265),"")</x:f>
      </x:c>
      <x:c r="L265" s="12"/>
      <x:c r="M265" s="12"/>
      <x:c r="N265" s="12"/>
    </x:row>
    <x:row r="266">
      <x:c r="A266" s="12"/>
      <x:c r="B266" s="12"/>
      <x:c r="C266" s="12"/>
      <x:c r="D266" s="18"/>
      <x:c r="E266" s="12"/>
      <x:c r="F266" s="12"/>
      <x:c r="G266" s="12"/>
      <x:c r="H266" s="12"/>
      <x:c r="I266" s="18"/>
      <x:c r="J266" s="18" t="str">
        <x:f>IFERROR(IF(OR(E266="",H266&lt;&gt;"Sí"),"",MAX(1,DATEDIF(TODAY(),E266,"M")+1)),"")</x:f>
      </x:c>
      <x:c r="K266" s="18" t="str">
        <x:f>IFERROR(IF(OR(H266&lt;&gt;"Sí",D266&lt;=0,J266=""),"",MAX(0,D266-I266)/J266),"")</x:f>
      </x:c>
      <x:c r="L266" s="12"/>
      <x:c r="M266" s="12"/>
      <x:c r="N266" s="12"/>
    </x:row>
    <x:row r="267">
      <x:c r="A267" s="12"/>
      <x:c r="B267" s="12"/>
      <x:c r="C267" s="12"/>
      <x:c r="D267" s="18"/>
      <x:c r="E267" s="12"/>
      <x:c r="F267" s="12"/>
      <x:c r="G267" s="12"/>
      <x:c r="H267" s="12"/>
      <x:c r="I267" s="18"/>
      <x:c r="J267" s="18" t="str">
        <x:f>IFERROR(IF(OR(E267="",H267&lt;&gt;"Sí"),"",MAX(1,DATEDIF(TODAY(),E267,"M")+1)),"")</x:f>
      </x:c>
      <x:c r="K267" s="18" t="str">
        <x:f>IFERROR(IF(OR(H267&lt;&gt;"Sí",D267&lt;=0,J267=""),"",MAX(0,D267-I267)/J267),"")</x:f>
      </x:c>
      <x:c r="L267" s="12"/>
      <x:c r="M267" s="12"/>
      <x:c r="N267" s="12"/>
    </x:row>
    <x:row r="268">
      <x:c r="A268" s="12"/>
      <x:c r="B268" s="12"/>
      <x:c r="C268" s="12"/>
      <x:c r="D268" s="18"/>
      <x:c r="E268" s="12"/>
      <x:c r="F268" s="12"/>
      <x:c r="G268" s="12"/>
      <x:c r="H268" s="12"/>
      <x:c r="I268" s="18"/>
      <x:c r="J268" s="18" t="str">
        <x:f>IFERROR(IF(OR(E268="",H268&lt;&gt;"Sí"),"",MAX(1,DATEDIF(TODAY(),E268,"M")+1)),"")</x:f>
      </x:c>
      <x:c r="K268" s="18" t="str">
        <x:f>IFERROR(IF(OR(H268&lt;&gt;"Sí",D268&lt;=0,J268=""),"",MAX(0,D268-I268)/J268),"")</x:f>
      </x:c>
      <x:c r="L268" s="12"/>
      <x:c r="M268" s="12"/>
      <x:c r="N268" s="12"/>
    </x:row>
    <x:row r="269">
      <x:c r="A269" s="12"/>
      <x:c r="B269" s="12"/>
      <x:c r="C269" s="12"/>
      <x:c r="D269" s="18"/>
      <x:c r="E269" s="12"/>
      <x:c r="F269" s="12"/>
      <x:c r="G269" s="12"/>
      <x:c r="H269" s="12"/>
      <x:c r="I269" s="18"/>
      <x:c r="J269" s="18" t="str">
        <x:f>IFERROR(IF(OR(E269="",H269&lt;&gt;"Sí"),"",MAX(1,DATEDIF(TODAY(),E269,"M")+1)),"")</x:f>
      </x:c>
      <x:c r="K269" s="18" t="str">
        <x:f>IFERROR(IF(OR(H269&lt;&gt;"Sí",D269&lt;=0,J269=""),"",MAX(0,D269-I269)/J269),"")</x:f>
      </x:c>
      <x:c r="L269" s="12"/>
      <x:c r="M269" s="12"/>
      <x:c r="N269" s="12"/>
    </x:row>
    <x:row r="270">
      <x:c r="A270" s="12"/>
      <x:c r="B270" s="12"/>
      <x:c r="C270" s="12"/>
      <x:c r="D270" s="18"/>
      <x:c r="E270" s="12"/>
      <x:c r="F270" s="12"/>
      <x:c r="G270" s="12"/>
      <x:c r="H270" s="12"/>
      <x:c r="I270" s="18"/>
      <x:c r="J270" s="18" t="str">
        <x:f>IFERROR(IF(OR(E270="",H270&lt;&gt;"Sí"),"",MAX(1,DATEDIF(TODAY(),E270,"M")+1)),"")</x:f>
      </x:c>
      <x:c r="K270" s="18" t="str">
        <x:f>IFERROR(IF(OR(H270&lt;&gt;"Sí",D270&lt;=0,J270=""),"",MAX(0,D270-I270)/J270),"")</x:f>
      </x:c>
      <x:c r="L270" s="12"/>
      <x:c r="M270" s="12"/>
      <x:c r="N270" s="12"/>
    </x:row>
    <x:row r="271">
      <x:c r="A271" s="12"/>
      <x:c r="B271" s="12"/>
      <x:c r="C271" s="12"/>
      <x:c r="D271" s="18"/>
      <x:c r="E271" s="12"/>
      <x:c r="F271" s="12"/>
      <x:c r="G271" s="12"/>
      <x:c r="H271" s="12"/>
      <x:c r="I271" s="18"/>
      <x:c r="J271" s="18" t="str">
        <x:f>IFERROR(IF(OR(E271="",H271&lt;&gt;"Sí"),"",MAX(1,DATEDIF(TODAY(),E271,"M")+1)),"")</x:f>
      </x:c>
      <x:c r="K271" s="18" t="str">
        <x:f>IFERROR(IF(OR(H271&lt;&gt;"Sí",D271&lt;=0,J271=""),"",MAX(0,D271-I271)/J271),"")</x:f>
      </x:c>
      <x:c r="L271" s="12"/>
      <x:c r="M271" s="12"/>
      <x:c r="N271" s="12"/>
    </x:row>
    <x:row r="272">
      <x:c r="A272" s="12"/>
      <x:c r="B272" s="12"/>
      <x:c r="C272" s="12"/>
      <x:c r="D272" s="18"/>
      <x:c r="E272" s="12"/>
      <x:c r="F272" s="12"/>
      <x:c r="G272" s="12"/>
      <x:c r="H272" s="12"/>
      <x:c r="I272" s="18"/>
      <x:c r="J272" s="18" t="str">
        <x:f>IFERROR(IF(OR(E272="",H272&lt;&gt;"Sí"),"",MAX(1,DATEDIF(TODAY(),E272,"M")+1)),"")</x:f>
      </x:c>
      <x:c r="K272" s="18" t="str">
        <x:f>IFERROR(IF(OR(H272&lt;&gt;"Sí",D272&lt;=0,J272=""),"",MAX(0,D272-I272)/J272),"")</x:f>
      </x:c>
      <x:c r="L272" s="12"/>
      <x:c r="M272" s="12"/>
      <x:c r="N272" s="12"/>
    </x:row>
    <x:row r="273">
      <x:c r="A273" s="12"/>
      <x:c r="B273" s="12"/>
      <x:c r="C273" s="12"/>
      <x:c r="D273" s="18"/>
      <x:c r="E273" s="12"/>
      <x:c r="F273" s="12"/>
      <x:c r="G273" s="12"/>
      <x:c r="H273" s="12"/>
      <x:c r="I273" s="18"/>
      <x:c r="J273" s="18" t="str">
        <x:f>IFERROR(IF(OR(E273="",H273&lt;&gt;"Sí"),"",MAX(1,DATEDIF(TODAY(),E273,"M")+1)),"")</x:f>
      </x:c>
      <x:c r="K273" s="18" t="str">
        <x:f>IFERROR(IF(OR(H273&lt;&gt;"Sí",D273&lt;=0,J273=""),"",MAX(0,D273-I273)/J273),"")</x:f>
      </x:c>
      <x:c r="L273" s="12"/>
      <x:c r="M273" s="12"/>
      <x:c r="N273" s="12"/>
    </x:row>
    <x:row r="274">
      <x:c r="A274" s="12"/>
      <x:c r="B274" s="12"/>
      <x:c r="C274" s="12"/>
      <x:c r="D274" s="18"/>
      <x:c r="E274" s="12"/>
      <x:c r="F274" s="12"/>
      <x:c r="G274" s="12"/>
      <x:c r="H274" s="12"/>
      <x:c r="I274" s="18"/>
      <x:c r="J274" s="18" t="str">
        <x:f>IFERROR(IF(OR(E274="",H274&lt;&gt;"Sí"),"",MAX(1,DATEDIF(TODAY(),E274,"M")+1)),"")</x:f>
      </x:c>
      <x:c r="K274" s="18" t="str">
        <x:f>IFERROR(IF(OR(H274&lt;&gt;"Sí",D274&lt;=0,J274=""),"",MAX(0,D274-I274)/J274),"")</x:f>
      </x:c>
      <x:c r="L274" s="12"/>
      <x:c r="M274" s="12"/>
      <x:c r="N274" s="12"/>
    </x:row>
    <x:row r="275">
      <x:c r="A275" s="12"/>
      <x:c r="B275" s="12"/>
      <x:c r="C275" s="12"/>
      <x:c r="D275" s="18"/>
      <x:c r="E275" s="12"/>
      <x:c r="F275" s="12"/>
      <x:c r="G275" s="12"/>
      <x:c r="H275" s="12"/>
      <x:c r="I275" s="18"/>
      <x:c r="J275" s="18" t="str">
        <x:f>IFERROR(IF(OR(E275="",H275&lt;&gt;"Sí"),"",MAX(1,DATEDIF(TODAY(),E275,"M")+1)),"")</x:f>
      </x:c>
      <x:c r="K275" s="18" t="str">
        <x:f>IFERROR(IF(OR(H275&lt;&gt;"Sí",D275&lt;=0,J275=""),"",MAX(0,D275-I275)/J275),"")</x:f>
      </x:c>
      <x:c r="L275" s="12"/>
      <x:c r="M275" s="12"/>
      <x:c r="N275" s="12"/>
    </x:row>
    <x:row r="276">
      <x:c r="A276" s="12"/>
      <x:c r="B276" s="12"/>
      <x:c r="C276" s="12"/>
      <x:c r="D276" s="18"/>
      <x:c r="E276" s="12"/>
      <x:c r="F276" s="12"/>
      <x:c r="G276" s="12"/>
      <x:c r="H276" s="12"/>
      <x:c r="I276" s="18"/>
      <x:c r="J276" s="18" t="str">
        <x:f>IFERROR(IF(OR(E276="",H276&lt;&gt;"Sí"),"",MAX(1,DATEDIF(TODAY(),E276,"M")+1)),"")</x:f>
      </x:c>
      <x:c r="K276" s="18" t="str">
        <x:f>IFERROR(IF(OR(H276&lt;&gt;"Sí",D276&lt;=0,J276=""),"",MAX(0,D276-I276)/J276),"")</x:f>
      </x:c>
      <x:c r="L276" s="12"/>
      <x:c r="M276" s="12"/>
      <x:c r="N276" s="12"/>
    </x:row>
    <x:row r="277">
      <x:c r="A277" s="12"/>
      <x:c r="B277" s="12"/>
      <x:c r="C277" s="12"/>
      <x:c r="D277" s="18"/>
      <x:c r="E277" s="12"/>
      <x:c r="F277" s="12"/>
      <x:c r="G277" s="12"/>
      <x:c r="H277" s="12"/>
      <x:c r="I277" s="18"/>
      <x:c r="J277" s="18" t="str">
        <x:f>IFERROR(IF(OR(E277="",H277&lt;&gt;"Sí"),"",MAX(1,DATEDIF(TODAY(),E277,"M")+1)),"")</x:f>
      </x:c>
      <x:c r="K277" s="18" t="str">
        <x:f>IFERROR(IF(OR(H277&lt;&gt;"Sí",D277&lt;=0,J277=""),"",MAX(0,D277-I277)/J277),"")</x:f>
      </x:c>
      <x:c r="L277" s="12"/>
      <x:c r="M277" s="12"/>
      <x:c r="N277" s="12"/>
    </x:row>
    <x:row r="278">
      <x:c r="A278" s="12"/>
      <x:c r="B278" s="12"/>
      <x:c r="C278" s="12"/>
      <x:c r="D278" s="18"/>
      <x:c r="E278" s="12"/>
      <x:c r="F278" s="12"/>
      <x:c r="G278" s="12"/>
      <x:c r="H278" s="12"/>
      <x:c r="I278" s="18"/>
      <x:c r="J278" s="18" t="str">
        <x:f>IFERROR(IF(OR(E278="",H278&lt;&gt;"Sí"),"",MAX(1,DATEDIF(TODAY(),E278,"M")+1)),"")</x:f>
      </x:c>
      <x:c r="K278" s="18" t="str">
        <x:f>IFERROR(IF(OR(H278&lt;&gt;"Sí",D278&lt;=0,J278=""),"",MAX(0,D278-I278)/J278),"")</x:f>
      </x:c>
      <x:c r="L278" s="12"/>
      <x:c r="M278" s="12"/>
      <x:c r="N278" s="12"/>
    </x:row>
    <x:row r="279">
      <x:c r="A279" s="12"/>
      <x:c r="B279" s="12"/>
      <x:c r="C279" s="12"/>
      <x:c r="D279" s="18"/>
      <x:c r="E279" s="12"/>
      <x:c r="F279" s="12"/>
      <x:c r="G279" s="12"/>
      <x:c r="H279" s="12"/>
      <x:c r="I279" s="18"/>
      <x:c r="J279" s="18" t="str">
        <x:f>IFERROR(IF(OR(E279="",H279&lt;&gt;"Sí"),"",MAX(1,DATEDIF(TODAY(),E279,"M")+1)),"")</x:f>
      </x:c>
      <x:c r="K279" s="18" t="str">
        <x:f>IFERROR(IF(OR(H279&lt;&gt;"Sí",D279&lt;=0,J279=""),"",MAX(0,D279-I279)/J279),"")</x:f>
      </x:c>
      <x:c r="L279" s="12"/>
      <x:c r="M279" s="12"/>
      <x:c r="N279" s="12"/>
    </x:row>
    <x:row r="280">
      <x:c r="A280" s="12"/>
      <x:c r="B280" s="12"/>
      <x:c r="C280" s="12"/>
      <x:c r="D280" s="18"/>
      <x:c r="E280" s="12"/>
      <x:c r="F280" s="12"/>
      <x:c r="G280" s="12"/>
      <x:c r="H280" s="12"/>
      <x:c r="I280" s="18"/>
      <x:c r="J280" s="18" t="str">
        <x:f>IFERROR(IF(OR(E280="",H280&lt;&gt;"Sí"),"",MAX(1,DATEDIF(TODAY(),E280,"M")+1)),"")</x:f>
      </x:c>
      <x:c r="K280" s="18" t="str">
        <x:f>IFERROR(IF(OR(H280&lt;&gt;"Sí",D280&lt;=0,J280=""),"",MAX(0,D280-I280)/J280),"")</x:f>
      </x:c>
      <x:c r="L280" s="12"/>
      <x:c r="M280" s="12"/>
      <x:c r="N280" s="12"/>
    </x:row>
    <x:row r="281">
      <x:c r="A281" s="12"/>
      <x:c r="B281" s="12"/>
      <x:c r="C281" s="12"/>
      <x:c r="D281" s="18"/>
      <x:c r="E281" s="12"/>
      <x:c r="F281" s="12"/>
      <x:c r="G281" s="12"/>
      <x:c r="H281" s="12"/>
      <x:c r="I281" s="18"/>
      <x:c r="J281" s="18" t="str">
        <x:f>IFERROR(IF(OR(E281="",H281&lt;&gt;"Sí"),"",MAX(1,DATEDIF(TODAY(),E281,"M")+1)),"")</x:f>
      </x:c>
      <x:c r="K281" s="18" t="str">
        <x:f>IFERROR(IF(OR(H281&lt;&gt;"Sí",D281&lt;=0,J281=""),"",MAX(0,D281-I281)/J281),"")</x:f>
      </x:c>
      <x:c r="L281" s="12"/>
      <x:c r="M281" s="12"/>
      <x:c r="N281" s="12"/>
    </x:row>
    <x:row r="282">
      <x:c r="A282" s="12"/>
      <x:c r="B282" s="12"/>
      <x:c r="C282" s="12"/>
      <x:c r="D282" s="18"/>
      <x:c r="E282" s="12"/>
      <x:c r="F282" s="12"/>
      <x:c r="G282" s="12"/>
      <x:c r="H282" s="12"/>
      <x:c r="I282" s="18"/>
      <x:c r="J282" s="18" t="str">
        <x:f>IFERROR(IF(OR(E282="",H282&lt;&gt;"Sí"),"",MAX(1,DATEDIF(TODAY(),E282,"M")+1)),"")</x:f>
      </x:c>
      <x:c r="K282" s="18" t="str">
        <x:f>IFERROR(IF(OR(H282&lt;&gt;"Sí",D282&lt;=0,J282=""),"",MAX(0,D282-I282)/J282),"")</x:f>
      </x:c>
      <x:c r="L282" s="12"/>
      <x:c r="M282" s="12"/>
      <x:c r="N282" s="12"/>
    </x:row>
    <x:row r="283">
      <x:c r="A283" s="12"/>
      <x:c r="B283" s="12"/>
      <x:c r="C283" s="12"/>
      <x:c r="D283" s="18"/>
      <x:c r="E283" s="12"/>
      <x:c r="F283" s="12"/>
      <x:c r="G283" s="12"/>
      <x:c r="H283" s="12"/>
      <x:c r="I283" s="18"/>
      <x:c r="J283" s="18" t="str">
        <x:f>IFERROR(IF(OR(E283="",H283&lt;&gt;"Sí"),"",MAX(1,DATEDIF(TODAY(),E283,"M")+1)),"")</x:f>
      </x:c>
      <x:c r="K283" s="18" t="str">
        <x:f>IFERROR(IF(OR(H283&lt;&gt;"Sí",D283&lt;=0,J283=""),"",MAX(0,D283-I283)/J283),"")</x:f>
      </x:c>
      <x:c r="L283" s="12"/>
      <x:c r="M283" s="12"/>
      <x:c r="N283" s="12"/>
    </x:row>
    <x:row r="284">
      <x:c r="A284" s="12"/>
      <x:c r="B284" s="12"/>
      <x:c r="C284" s="12"/>
      <x:c r="D284" s="18"/>
      <x:c r="E284" s="12"/>
      <x:c r="F284" s="12"/>
      <x:c r="G284" s="12"/>
      <x:c r="H284" s="12"/>
      <x:c r="I284" s="18"/>
      <x:c r="J284" s="18" t="str">
        <x:f>IFERROR(IF(OR(E284="",H284&lt;&gt;"Sí"),"",MAX(1,DATEDIF(TODAY(),E284,"M")+1)),"")</x:f>
      </x:c>
      <x:c r="K284" s="18" t="str">
        <x:f>IFERROR(IF(OR(H284&lt;&gt;"Sí",D284&lt;=0,J284=""),"",MAX(0,D284-I284)/J284),"")</x:f>
      </x:c>
      <x:c r="L284" s="12"/>
      <x:c r="M284" s="12"/>
      <x:c r="N284" s="12"/>
    </x:row>
    <x:row r="285">
      <x:c r="A285" s="12"/>
      <x:c r="B285" s="12"/>
      <x:c r="C285" s="12"/>
      <x:c r="D285" s="18"/>
      <x:c r="E285" s="12"/>
      <x:c r="F285" s="12"/>
      <x:c r="G285" s="12"/>
      <x:c r="H285" s="12"/>
      <x:c r="I285" s="18"/>
      <x:c r="J285" s="18" t="str">
        <x:f>IFERROR(IF(OR(E285="",H285&lt;&gt;"Sí"),"",MAX(1,DATEDIF(TODAY(),E285,"M")+1)),"")</x:f>
      </x:c>
      <x:c r="K285" s="18" t="str">
        <x:f>IFERROR(IF(OR(H285&lt;&gt;"Sí",D285&lt;=0,J285=""),"",MAX(0,D285-I285)/J285),"")</x:f>
      </x:c>
      <x:c r="L285" s="12"/>
      <x:c r="M285" s="12"/>
      <x:c r="N285" s="12"/>
    </x:row>
    <x:row r="286">
      <x:c r="A286" s="12"/>
      <x:c r="B286" s="12"/>
      <x:c r="C286" s="12"/>
      <x:c r="D286" s="18"/>
      <x:c r="E286" s="12"/>
      <x:c r="F286" s="12"/>
      <x:c r="G286" s="12"/>
      <x:c r="H286" s="12"/>
      <x:c r="I286" s="18"/>
      <x:c r="J286" s="18" t="str">
        <x:f>IFERROR(IF(OR(E286="",H286&lt;&gt;"Sí"),"",MAX(1,DATEDIF(TODAY(),E286,"M")+1)),"")</x:f>
      </x:c>
      <x:c r="K286" s="18" t="str">
        <x:f>IFERROR(IF(OR(H286&lt;&gt;"Sí",D286&lt;=0,J286=""),"",MAX(0,D286-I286)/J286),"")</x:f>
      </x:c>
      <x:c r="L286" s="12"/>
      <x:c r="M286" s="12"/>
      <x:c r="N286" s="12"/>
    </x:row>
    <x:row r="287">
      <x:c r="A287" s="12"/>
      <x:c r="B287" s="12"/>
      <x:c r="C287" s="12"/>
      <x:c r="D287" s="18"/>
      <x:c r="E287" s="12"/>
      <x:c r="F287" s="12"/>
      <x:c r="G287" s="12"/>
      <x:c r="H287" s="12"/>
      <x:c r="I287" s="18"/>
      <x:c r="J287" s="18" t="str">
        <x:f>IFERROR(IF(OR(E287="",H287&lt;&gt;"Sí"),"",MAX(1,DATEDIF(TODAY(),E287,"M")+1)),"")</x:f>
      </x:c>
      <x:c r="K287" s="18" t="str">
        <x:f>IFERROR(IF(OR(H287&lt;&gt;"Sí",D287&lt;=0,J287=""),"",MAX(0,D287-I287)/J287),"")</x:f>
      </x:c>
      <x:c r="L287" s="12"/>
      <x:c r="M287" s="12"/>
      <x:c r="N287" s="12"/>
    </x:row>
    <x:row r="288">
      <x:c r="A288" s="12"/>
      <x:c r="B288" s="12"/>
      <x:c r="C288" s="12"/>
      <x:c r="D288" s="18"/>
      <x:c r="E288" s="12"/>
      <x:c r="F288" s="12"/>
      <x:c r="G288" s="12"/>
      <x:c r="H288" s="12"/>
      <x:c r="I288" s="18"/>
      <x:c r="J288" s="18" t="str">
        <x:f>IFERROR(IF(OR(E288="",H288&lt;&gt;"Sí"),"",MAX(1,DATEDIF(TODAY(),E288,"M")+1)),"")</x:f>
      </x:c>
      <x:c r="K288" s="18" t="str">
        <x:f>IFERROR(IF(OR(H288&lt;&gt;"Sí",D288&lt;=0,J288=""),"",MAX(0,D288-I288)/J288),"")</x:f>
      </x:c>
      <x:c r="L288" s="12"/>
      <x:c r="M288" s="12"/>
      <x:c r="N288" s="12"/>
    </x:row>
    <x:row r="289">
      <x:c r="A289" s="12"/>
      <x:c r="B289" s="12"/>
      <x:c r="C289" s="12"/>
      <x:c r="D289" s="18"/>
      <x:c r="E289" s="12"/>
      <x:c r="F289" s="12"/>
      <x:c r="G289" s="12"/>
      <x:c r="H289" s="12"/>
      <x:c r="I289" s="18"/>
      <x:c r="J289" s="18" t="str">
        <x:f>IFERROR(IF(OR(E289="",H289&lt;&gt;"Sí"),"",MAX(1,DATEDIF(TODAY(),E289,"M")+1)),"")</x:f>
      </x:c>
      <x:c r="K289" s="18" t="str">
        <x:f>IFERROR(IF(OR(H289&lt;&gt;"Sí",D289&lt;=0,J289=""),"",MAX(0,D289-I289)/J289),"")</x:f>
      </x:c>
      <x:c r="L289" s="12"/>
      <x:c r="M289" s="12"/>
      <x:c r="N289" s="12"/>
    </x:row>
    <x:row r="290">
      <x:c r="A290" s="12"/>
      <x:c r="B290" s="12"/>
      <x:c r="C290" s="12"/>
      <x:c r="D290" s="18"/>
      <x:c r="E290" s="12"/>
      <x:c r="F290" s="12"/>
      <x:c r="G290" s="12"/>
      <x:c r="H290" s="12"/>
      <x:c r="I290" s="18"/>
      <x:c r="J290" s="18" t="str">
        <x:f>IFERROR(IF(OR(E290="",H290&lt;&gt;"Sí"),"",MAX(1,DATEDIF(TODAY(),E290,"M")+1)),"")</x:f>
      </x:c>
      <x:c r="K290" s="18" t="str">
        <x:f>IFERROR(IF(OR(H290&lt;&gt;"Sí",D290&lt;=0,J290=""),"",MAX(0,D290-I290)/J290),"")</x:f>
      </x:c>
      <x:c r="L290" s="12"/>
      <x:c r="M290" s="12"/>
      <x:c r="N290" s="12"/>
    </x:row>
    <x:row r="291">
      <x:c r="A291" s="12"/>
      <x:c r="B291" s="12"/>
      <x:c r="C291" s="12"/>
      <x:c r="D291" s="18"/>
      <x:c r="E291" s="12"/>
      <x:c r="F291" s="12"/>
      <x:c r="G291" s="12"/>
      <x:c r="H291" s="12"/>
      <x:c r="I291" s="18"/>
      <x:c r="J291" s="18" t="str">
        <x:f>IFERROR(IF(OR(E291="",H291&lt;&gt;"Sí"),"",MAX(1,DATEDIF(TODAY(),E291,"M")+1)),"")</x:f>
      </x:c>
      <x:c r="K291" s="18" t="str">
        <x:f>IFERROR(IF(OR(H291&lt;&gt;"Sí",D291&lt;=0,J291=""),"",MAX(0,D291-I291)/J291),"")</x:f>
      </x:c>
      <x:c r="L291" s="12"/>
      <x:c r="M291" s="12"/>
      <x:c r="N291" s="12"/>
    </x:row>
    <x:row r="292">
      <x:c r="A292" s="12"/>
      <x:c r="B292" s="12"/>
      <x:c r="C292" s="12"/>
      <x:c r="D292" s="18"/>
      <x:c r="E292" s="12"/>
      <x:c r="F292" s="12"/>
      <x:c r="G292" s="12"/>
      <x:c r="H292" s="12"/>
      <x:c r="I292" s="18"/>
      <x:c r="J292" s="18" t="str">
        <x:f>IFERROR(IF(OR(E292="",H292&lt;&gt;"Sí"),"",MAX(1,DATEDIF(TODAY(),E292,"M")+1)),"")</x:f>
      </x:c>
      <x:c r="K292" s="18" t="str">
        <x:f>IFERROR(IF(OR(H292&lt;&gt;"Sí",D292&lt;=0,J292=""),"",MAX(0,D292-I292)/J292),"")</x:f>
      </x:c>
      <x:c r="L292" s="12"/>
      <x:c r="M292" s="12"/>
      <x:c r="N292" s="12"/>
    </x:row>
    <x:row r="293">
      <x:c r="A293" s="12"/>
      <x:c r="B293" s="12"/>
      <x:c r="C293" s="12"/>
      <x:c r="D293" s="18"/>
      <x:c r="E293" s="12"/>
      <x:c r="F293" s="12"/>
      <x:c r="G293" s="12"/>
      <x:c r="H293" s="12"/>
      <x:c r="I293" s="18"/>
      <x:c r="J293" s="18" t="str">
        <x:f>IFERROR(IF(OR(E293="",H293&lt;&gt;"Sí"),"",MAX(1,DATEDIF(TODAY(),E293,"M")+1)),"")</x:f>
      </x:c>
      <x:c r="K293" s="18" t="str">
        <x:f>IFERROR(IF(OR(H293&lt;&gt;"Sí",D293&lt;=0,J293=""),"",MAX(0,D293-I293)/J293),"")</x:f>
      </x:c>
      <x:c r="L293" s="12"/>
      <x:c r="M293" s="12"/>
      <x:c r="N293" s="12"/>
    </x:row>
    <x:row r="294">
      <x:c r="A294" s="12"/>
      <x:c r="B294" s="12"/>
      <x:c r="C294" s="12"/>
      <x:c r="D294" s="18"/>
      <x:c r="E294" s="12"/>
      <x:c r="F294" s="12"/>
      <x:c r="G294" s="12"/>
      <x:c r="H294" s="12"/>
      <x:c r="I294" s="18"/>
      <x:c r="J294" s="18" t="str">
        <x:f>IFERROR(IF(OR(E294="",H294&lt;&gt;"Sí"),"",MAX(1,DATEDIF(TODAY(),E294,"M")+1)),"")</x:f>
      </x:c>
      <x:c r="K294" s="18" t="str">
        <x:f>IFERROR(IF(OR(H294&lt;&gt;"Sí",D294&lt;=0,J294=""),"",MAX(0,D294-I294)/J294),"")</x:f>
      </x:c>
      <x:c r="L294" s="12"/>
      <x:c r="M294" s="12"/>
      <x:c r="N294" s="12"/>
    </x:row>
    <x:row r="295">
      <x:c r="A295" s="12"/>
      <x:c r="B295" s="12"/>
      <x:c r="C295" s="12"/>
      <x:c r="D295" s="18"/>
      <x:c r="E295" s="12"/>
      <x:c r="F295" s="12"/>
      <x:c r="G295" s="12"/>
      <x:c r="H295" s="12"/>
      <x:c r="I295" s="18"/>
      <x:c r="J295" s="18" t="str">
        <x:f>IFERROR(IF(OR(E295="",H295&lt;&gt;"Sí"),"",MAX(1,DATEDIF(TODAY(),E295,"M")+1)),"")</x:f>
      </x:c>
      <x:c r="K295" s="18" t="str">
        <x:f>IFERROR(IF(OR(H295&lt;&gt;"Sí",D295&lt;=0,J295=""),"",MAX(0,D295-I295)/J295),"")</x:f>
      </x:c>
      <x:c r="L295" s="12"/>
      <x:c r="M295" s="12"/>
      <x:c r="N295" s="12"/>
    </x:row>
    <x:row r="296">
      <x:c r="A296" s="12"/>
      <x:c r="B296" s="12"/>
      <x:c r="C296" s="12"/>
      <x:c r="D296" s="18"/>
      <x:c r="E296" s="12"/>
      <x:c r="F296" s="12"/>
      <x:c r="G296" s="12"/>
      <x:c r="H296" s="12"/>
      <x:c r="I296" s="18"/>
      <x:c r="J296" s="18" t="str">
        <x:f>IFERROR(IF(OR(E296="",H296&lt;&gt;"Sí"),"",MAX(1,DATEDIF(TODAY(),E296,"M")+1)),"")</x:f>
      </x:c>
      <x:c r="K296" s="18" t="str">
        <x:f>IFERROR(IF(OR(H296&lt;&gt;"Sí",D296&lt;=0,J296=""),"",MAX(0,D296-I296)/J296),"")</x:f>
      </x:c>
      <x:c r="L296" s="12"/>
      <x:c r="M296" s="12"/>
      <x:c r="N296" s="12"/>
    </x:row>
    <x:row r="297">
      <x:c r="A297" s="12"/>
      <x:c r="B297" s="12"/>
      <x:c r="C297" s="12"/>
      <x:c r="D297" s="18"/>
      <x:c r="E297" s="12"/>
      <x:c r="F297" s="12"/>
      <x:c r="G297" s="12"/>
      <x:c r="H297" s="12"/>
      <x:c r="I297" s="18"/>
      <x:c r="J297" s="18" t="str">
        <x:f>IFERROR(IF(OR(E297="",H297&lt;&gt;"Sí"),"",MAX(1,DATEDIF(TODAY(),E297,"M")+1)),"")</x:f>
      </x:c>
      <x:c r="K297" s="18" t="str">
        <x:f>IFERROR(IF(OR(H297&lt;&gt;"Sí",D297&lt;=0,J297=""),"",MAX(0,D297-I297)/J297),"")</x:f>
      </x:c>
      <x:c r="L297" s="12"/>
      <x:c r="M297" s="12"/>
      <x:c r="N297" s="12"/>
    </x:row>
    <x:row r="298">
      <x:c r="A298" s="12"/>
      <x:c r="B298" s="12"/>
      <x:c r="C298" s="12"/>
      <x:c r="D298" s="18"/>
      <x:c r="E298" s="12"/>
      <x:c r="F298" s="12"/>
      <x:c r="G298" s="12"/>
      <x:c r="H298" s="12"/>
      <x:c r="I298" s="18"/>
      <x:c r="J298" s="18" t="str">
        <x:f>IFERROR(IF(OR(E298="",H298&lt;&gt;"Sí"),"",MAX(1,DATEDIF(TODAY(),E298,"M")+1)),"")</x:f>
      </x:c>
      <x:c r="K298" s="18" t="str">
        <x:f>IFERROR(IF(OR(H298&lt;&gt;"Sí",D298&lt;=0,J298=""),"",MAX(0,D298-I298)/J298),"")</x:f>
      </x:c>
      <x:c r="L298" s="12"/>
      <x:c r="M298" s="12"/>
      <x:c r="N298" s="12"/>
    </x:row>
    <x:row r="299">
      <x:c r="A299" s="12"/>
      <x:c r="B299" s="12"/>
      <x:c r="C299" s="12"/>
      <x:c r="D299" s="18"/>
      <x:c r="E299" s="12"/>
      <x:c r="F299" s="12"/>
      <x:c r="G299" s="12"/>
      <x:c r="H299" s="12"/>
      <x:c r="I299" s="18"/>
      <x:c r="J299" s="18" t="str">
        <x:f>IFERROR(IF(OR(E299="",H299&lt;&gt;"Sí"),"",MAX(1,DATEDIF(TODAY(),E299,"M")+1)),"")</x:f>
      </x:c>
      <x:c r="K299" s="18" t="str">
        <x:f>IFERROR(IF(OR(H299&lt;&gt;"Sí",D299&lt;=0,J299=""),"",MAX(0,D299-I299)/J299),"")</x:f>
      </x:c>
      <x:c r="L299" s="12"/>
      <x:c r="M299" s="12"/>
      <x:c r="N299" s="12"/>
    </x:row>
    <x:row r="300">
      <x:c r="A300" s="12"/>
      <x:c r="B300" s="12"/>
      <x:c r="C300" s="12"/>
      <x:c r="D300" s="18"/>
      <x:c r="E300" s="12"/>
      <x:c r="F300" s="12"/>
      <x:c r="G300" s="12"/>
      <x:c r="H300" s="12"/>
      <x:c r="I300" s="18"/>
      <x:c r="J300" s="18" t="str">
        <x:f>IFERROR(IF(OR(E300="",H300&lt;&gt;"Sí"),"",MAX(1,DATEDIF(TODAY(),E300,"M")+1)),"")</x:f>
      </x:c>
      <x:c r="K300" s="18" t="str">
        <x:f>IFERROR(IF(OR(H300&lt;&gt;"Sí",D300&lt;=0,J300=""),"",MAX(0,D300-I300)/J300),"")</x:f>
      </x:c>
      <x:c r="L300" s="12"/>
      <x:c r="M300" s="12"/>
      <x:c r="N300" s="12"/>
    </x:row>
  </x:sheetData>
  <x:dataValidations count="2">
    <x:dataValidation type="list" sqref="H2:H300">
      <x:formula1>"Sí,No"</x:formula1>
    </x:dataValidation>
    <x:dataValidation type="list" sqref="F2:F300">
      <x:formula1>"Mensual,Trimestral,Semestral,Anual,Puntual"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bfe554321a430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18" hidden="0" customWidth="1"/>
    <x:col min="4" max="4" width="22" hidden="0" customWidth="1"/>
    <x:col min="5" max="5" width="18" hidden="0" customWidth="1"/>
    <x:col min="6" max="6" width="18" hidden="0" customWidth="1"/>
    <x:col min="7" max="7" width="12" hidden="0" customWidth="1"/>
    <x:col min="8" max="8" width="16" hidden="0" customWidth="1"/>
    <x:col min="9" max="9" width="18" hidden="0" customWidth="1"/>
    <x:col min="10" max="10" width="18" hidden="0" customWidth="1"/>
    <x:col min="11" max="11" width="14" hidden="0" customWidth="1"/>
    <x:col min="12" max="12" width="55" hidden="0" customWidth="1"/>
    <x:col min="13" max="13" width="18" hidden="0" customWidth="1"/>
    <x:col min="14" max="14" width="18" hidden="0" customWidth="1"/>
  </x:cols>
  <x:sheetData>
    <x:row r="1">
      <x:c r="A1" s="6" t="str">
        <x:v>objetivoId</x:v>
      </x:c>
      <x:c r="B1" s="6" t="str">
        <x:v>nombre</x:v>
      </x:c>
      <x:c r="C1" s="6" t="str">
        <x:v>tipo</x:v>
      </x:c>
      <x:c r="D1" s="6" t="str">
        <x:v>cuentaAhorro</x:v>
      </x:c>
      <x:c r="E1" s="6" t="str">
        <x:v>importeObjetivo</x:v>
      </x:c>
      <x:c r="F1" s="6" t="str">
        <x:v>fechaObjetivo</x:v>
      </x:c>
      <x:c r="G1" s="6" t="str">
        <x:v>prioridad</x:v>
      </x:c>
      <x:c r="H1" s="6" t="str">
        <x:v>saldoActual</x:v>
      </x:c>
      <x:c r="I1" s="6" t="str">
        <x:v>mesesRestantes</x:v>
      </x:c>
      <x:c r="J1" s="6" t="str">
        <x:v>aporteMensual</x:v>
      </x:c>
      <x:c r="K1" s="6" t="str">
        <x:v>estado</x:v>
      </x:c>
      <x:c r="L1" s="6" t="str">
        <x:v>notas</x:v>
      </x:c>
      <x:c r="M1" s="6" t="str">
        <x:v>createdAt</x:v>
      </x:c>
      <x:c r="N1" s="6" t="str">
        <x:v>updatedAt</x:v>
      </x:c>
    </x:row>
    <x:row r="2">
      <x:c r="A2" s="12" t="str">
        <x:v>obj-mini-colchon</x:v>
      </x:c>
      <x:c r="B2" s="12" t="str">
        <x:v>Mini-colchón seguridad</x:v>
      </x:c>
      <x:c r="C2" s="12" t="str">
        <x:v>Seguridad</x:v>
      </x:c>
      <x:c r="D2" s="12" t="str">
        <x:v>Cuenta principal</x:v>
      </x:c>
      <x:c r="E2" s="18" t="n">
        <x:v>1000</x:v>
      </x:c>
      <x:c r="F2" s="12" t="str"/>
      <x:c r="G2" s="12" t="str">
        <x:v>Alta</x:v>
      </x:c>
      <x:c r="H2" s="18" t="n">
        <x:v>0</x:v>
      </x:c>
      <x:c r="I2" s="18" t="str"/>
      <x:c r="J2" s="18" t="str">
        <x:f>IFERROR(IF(OR(E2&lt;=0,I2=""),"",MAX(0,E2-H2)/I2),"")</x:f>
      </x:c>
      <x:c r="K2" s="12" t="str">
        <x:v>Activo</x:v>
      </x:c>
      <x:c r="L2" s="12" t="str">
        <x:v>Primer objetivo: dejar de vivir al mes.</x:v>
      </x:c>
      <x:c r="M2" s="12" t="str"/>
      <x:c r="N2" s="12" t="str"/>
    </x:row>
    <x:row r="3">
      <x:c r="A3" s="12" t="str">
        <x:v>obj-colchon-real</x:v>
      </x:c>
      <x:c r="B3" s="12" t="str">
        <x:v>Colchón real</x:v>
      </x:c>
      <x:c r="C3" s="12" t="str">
        <x:v>Seguridad</x:v>
      </x:c>
      <x:c r="D3" s="12" t="str">
        <x:v>Cuenta principal</x:v>
      </x:c>
      <x:c r="E3" s="18" t="n">
        <x:v>3000</x:v>
      </x:c>
      <x:c r="F3" s="12" t="str"/>
      <x:c r="G3" s="12" t="str">
        <x:v>Alta</x:v>
      </x:c>
      <x:c r="H3" s="18" t="n">
        <x:v>0</x:v>
      </x:c>
      <x:c r="I3" s="18" t="str"/>
      <x:c r="J3" s="18" t="str">
        <x:f>IFERROR(IF(OR(E3&lt;=0,I3=""),"",MAX(0,E3-H3)/I3),"")</x:f>
      </x:c>
      <x:c r="K3" s="12" t="str">
        <x:v>Pausado</x:v>
      </x:c>
      <x:c r="L3" s="12" t="str">
        <x:v>Activar después del mini-colchón.</x:v>
      </x:c>
      <x:c r="M3" s="12" t="str"/>
      <x:c r="N3" s="12" t="str"/>
    </x:row>
    <x:row r="4">
      <x:c r="A4" s="12" t="str">
        <x:v>obj-imprevistos</x:v>
      </x:c>
      <x:c r="B4" s="12" t="str">
        <x:v>Imprevistos vehículo/moto</x:v>
      </x:c>
      <x:c r="C4" s="12" t="str">
        <x:v>Seguridad</x:v>
      </x:c>
      <x:c r="D4" s="12" t="str">
        <x:v>Reserva virtual</x:v>
      </x:c>
      <x:c r="E4" s="18" t="n">
        <x:v>600</x:v>
      </x:c>
      <x:c r="F4" s="12" t="str"/>
      <x:c r="G4" s="12" t="str">
        <x:v>Alta</x:v>
      </x:c>
      <x:c r="H4" s="18" t="n">
        <x:v>0</x:v>
      </x:c>
      <x:c r="I4" s="18" t="str"/>
      <x:c r="J4" s="18" t="str">
        <x:f>IFERROR(IF(OR(E4&lt;=0,I4=""),"",MAX(0,E4-H4)/I4),"")</x:f>
      </x:c>
      <x:c r="K4" s="12" t="str">
        <x:v>Activo</x:v>
      </x:c>
      <x:c r="L4" s="12" t="str">
        <x:v>Reserva para multas, neumáticos, revisiones y averías pequeñas.</x:v>
      </x:c>
      <x:c r="M4" s="12" t="str"/>
      <x:c r="N4" s="12" t="str"/>
    </x:row>
    <x:row r="5">
      <x:c r="A5" s="12"/>
      <x:c r="B5" s="12"/>
      <x:c r="C5" s="12"/>
      <x:c r="D5" s="12"/>
      <x:c r="E5" s="18"/>
      <x:c r="F5" s="12"/>
      <x:c r="G5" s="12"/>
      <x:c r="H5" s="18"/>
      <x:c r="I5" s="18"/>
      <x:c r="J5" s="18" t="str">
        <x:f>IFERROR(IF(OR(E5&lt;=0,I5=""),"",MAX(0,E5-H5)/I5),"")</x:f>
      </x:c>
      <x:c r="K5" s="12"/>
      <x:c r="L5" s="12"/>
      <x:c r="M5" s="12"/>
      <x:c r="N5" s="12"/>
    </x:row>
    <x:row r="6">
      <x:c r="A6" s="12"/>
      <x:c r="B6" s="12"/>
      <x:c r="C6" s="12"/>
      <x:c r="D6" s="12"/>
      <x:c r="E6" s="18"/>
      <x:c r="F6" s="12"/>
      <x:c r="G6" s="12"/>
      <x:c r="H6" s="18"/>
      <x:c r="I6" s="18"/>
      <x:c r="J6" s="18" t="str">
        <x:f>IFERROR(IF(OR(E6&lt;=0,I6=""),"",MAX(0,E6-H6)/I6),"")</x:f>
      </x:c>
      <x:c r="K6" s="12"/>
      <x:c r="L6" s="12"/>
      <x:c r="M6" s="12"/>
      <x:c r="N6" s="12"/>
    </x:row>
    <x:row r="7">
      <x:c r="A7" s="12"/>
      <x:c r="B7" s="12"/>
      <x:c r="C7" s="12"/>
      <x:c r="D7" s="12"/>
      <x:c r="E7" s="18"/>
      <x:c r="F7" s="12"/>
      <x:c r="G7" s="12"/>
      <x:c r="H7" s="18"/>
      <x:c r="I7" s="18"/>
      <x:c r="J7" s="18" t="str">
        <x:f>IFERROR(IF(OR(E7&lt;=0,I7=""),"",MAX(0,E7-H7)/I7),"")</x:f>
      </x:c>
      <x:c r="K7" s="12"/>
      <x:c r="L7" s="12"/>
      <x:c r="M7" s="12"/>
      <x:c r="N7" s="12"/>
    </x:row>
    <x:row r="8">
      <x:c r="A8" s="12"/>
      <x:c r="B8" s="12"/>
      <x:c r="C8" s="12"/>
      <x:c r="D8" s="12"/>
      <x:c r="E8" s="18"/>
      <x:c r="F8" s="12"/>
      <x:c r="G8" s="12"/>
      <x:c r="H8" s="18"/>
      <x:c r="I8" s="18"/>
      <x:c r="J8" s="18" t="str">
        <x:f>IFERROR(IF(OR(E8&lt;=0,I8=""),"",MAX(0,E8-H8)/I8),"")</x:f>
      </x:c>
      <x:c r="K8" s="12"/>
      <x:c r="L8" s="12"/>
      <x:c r="M8" s="12"/>
      <x:c r="N8" s="12"/>
    </x:row>
    <x:row r="9">
      <x:c r="A9" s="12"/>
      <x:c r="B9" s="12"/>
      <x:c r="C9" s="12"/>
      <x:c r="D9" s="12"/>
      <x:c r="E9" s="18"/>
      <x:c r="F9" s="12"/>
      <x:c r="G9" s="12"/>
      <x:c r="H9" s="18"/>
      <x:c r="I9" s="18"/>
      <x:c r="J9" s="18" t="str">
        <x:f>IFERROR(IF(OR(E9&lt;=0,I9=""),"",MAX(0,E9-H9)/I9),"")</x:f>
      </x:c>
      <x:c r="K9" s="12"/>
      <x:c r="L9" s="12"/>
      <x:c r="M9" s="12"/>
      <x:c r="N9" s="12"/>
    </x:row>
    <x:row r="10">
      <x:c r="A10" s="12"/>
      <x:c r="B10" s="12"/>
      <x:c r="C10" s="12"/>
      <x:c r="D10" s="12"/>
      <x:c r="E10" s="18"/>
      <x:c r="F10" s="12"/>
      <x:c r="G10" s="12"/>
      <x:c r="H10" s="18"/>
      <x:c r="I10" s="18"/>
      <x:c r="J10" s="18" t="str">
        <x:f>IFERROR(IF(OR(E10&lt;=0,I10=""),"",MAX(0,E10-H10)/I10),"")</x:f>
      </x:c>
      <x:c r="K10" s="12"/>
      <x:c r="L10" s="12"/>
      <x:c r="M10" s="12"/>
      <x:c r="N10" s="12"/>
    </x:row>
    <x:row r="11">
      <x:c r="A11" s="12"/>
      <x:c r="B11" s="12"/>
      <x:c r="C11" s="12"/>
      <x:c r="D11" s="12"/>
      <x:c r="E11" s="18"/>
      <x:c r="F11" s="12"/>
      <x:c r="G11" s="12"/>
      <x:c r="H11" s="18"/>
      <x:c r="I11" s="18"/>
      <x:c r="J11" s="18" t="str">
        <x:f>IFERROR(IF(OR(E11&lt;=0,I11=""),"",MAX(0,E11-H11)/I11),"")</x:f>
      </x:c>
      <x:c r="K11" s="12"/>
      <x:c r="L11" s="12"/>
      <x:c r="M11" s="12"/>
      <x:c r="N11" s="12"/>
    </x:row>
    <x:row r="12">
      <x:c r="A12" s="12"/>
      <x:c r="B12" s="12"/>
      <x:c r="C12" s="12"/>
      <x:c r="D12" s="12"/>
      <x:c r="E12" s="18"/>
      <x:c r="F12" s="12"/>
      <x:c r="G12" s="12"/>
      <x:c r="H12" s="18"/>
      <x:c r="I12" s="18"/>
      <x:c r="J12" s="18" t="str">
        <x:f>IFERROR(IF(OR(E12&lt;=0,I12=""),"",MAX(0,E12-H12)/I12),"")</x:f>
      </x:c>
      <x:c r="K12" s="12"/>
      <x:c r="L12" s="12"/>
      <x:c r="M12" s="12"/>
      <x:c r="N12" s="12"/>
    </x:row>
    <x:row r="13">
      <x:c r="A13" s="12"/>
      <x:c r="B13" s="12"/>
      <x:c r="C13" s="12"/>
      <x:c r="D13" s="12"/>
      <x:c r="E13" s="18"/>
      <x:c r="F13" s="12"/>
      <x:c r="G13" s="12"/>
      <x:c r="H13" s="18"/>
      <x:c r="I13" s="18"/>
      <x:c r="J13" s="18" t="str">
        <x:f>IFERROR(IF(OR(E13&lt;=0,I13=""),"",MAX(0,E13-H13)/I13),"")</x:f>
      </x:c>
      <x:c r="K13" s="12"/>
      <x:c r="L13" s="12"/>
      <x:c r="M13" s="12"/>
      <x:c r="N13" s="12"/>
    </x:row>
    <x:row r="14">
      <x:c r="A14" s="12"/>
      <x:c r="B14" s="12"/>
      <x:c r="C14" s="12"/>
      <x:c r="D14" s="12"/>
      <x:c r="E14" s="18"/>
      <x:c r="F14" s="12"/>
      <x:c r="G14" s="12"/>
      <x:c r="H14" s="18"/>
      <x:c r="I14" s="18"/>
      <x:c r="J14" s="18" t="str">
        <x:f>IFERROR(IF(OR(E14&lt;=0,I14=""),"",MAX(0,E14-H14)/I14),"")</x:f>
      </x:c>
      <x:c r="K14" s="12"/>
      <x:c r="L14" s="12"/>
      <x:c r="M14" s="12"/>
      <x:c r="N14" s="12"/>
    </x:row>
    <x:row r="15">
      <x:c r="A15" s="12"/>
      <x:c r="B15" s="12"/>
      <x:c r="C15" s="12"/>
      <x:c r="D15" s="12"/>
      <x:c r="E15" s="18"/>
      <x:c r="F15" s="12"/>
      <x:c r="G15" s="12"/>
      <x:c r="H15" s="18"/>
      <x:c r="I15" s="18"/>
      <x:c r="J15" s="18" t="str">
        <x:f>IFERROR(IF(OR(E15&lt;=0,I15=""),"",MAX(0,E15-H15)/I15),"")</x:f>
      </x:c>
      <x:c r="K15" s="12"/>
      <x:c r="L15" s="12"/>
      <x:c r="M15" s="12"/>
      <x:c r="N15" s="12"/>
    </x:row>
    <x:row r="16">
      <x:c r="A16" s="12"/>
      <x:c r="B16" s="12"/>
      <x:c r="C16" s="12"/>
      <x:c r="D16" s="12"/>
      <x:c r="E16" s="18"/>
      <x:c r="F16" s="12"/>
      <x:c r="G16" s="12"/>
      <x:c r="H16" s="18"/>
      <x:c r="I16" s="18"/>
      <x:c r="J16" s="18" t="str">
        <x:f>IFERROR(IF(OR(E16&lt;=0,I16=""),"",MAX(0,E16-H16)/I16),"")</x:f>
      </x:c>
      <x:c r="K16" s="12"/>
      <x:c r="L16" s="12"/>
      <x:c r="M16" s="12"/>
      <x:c r="N16" s="12"/>
    </x:row>
    <x:row r="17">
      <x:c r="A17" s="12"/>
      <x:c r="B17" s="12"/>
      <x:c r="C17" s="12"/>
      <x:c r="D17" s="12"/>
      <x:c r="E17" s="18"/>
      <x:c r="F17" s="12"/>
      <x:c r="G17" s="12"/>
      <x:c r="H17" s="18"/>
      <x:c r="I17" s="18"/>
      <x:c r="J17" s="18" t="str">
        <x:f>IFERROR(IF(OR(E17&lt;=0,I17=""),"",MAX(0,E17-H17)/I17),"")</x:f>
      </x:c>
      <x:c r="K17" s="12"/>
      <x:c r="L17" s="12"/>
      <x:c r="M17" s="12"/>
      <x:c r="N17" s="12"/>
    </x:row>
    <x:row r="18">
      <x:c r="A18" s="12"/>
      <x:c r="B18" s="12"/>
      <x:c r="C18" s="12"/>
      <x:c r="D18" s="12"/>
      <x:c r="E18" s="18"/>
      <x:c r="F18" s="12"/>
      <x:c r="G18" s="12"/>
      <x:c r="H18" s="18"/>
      <x:c r="I18" s="18"/>
      <x:c r="J18" s="18" t="str">
        <x:f>IFERROR(IF(OR(E18&lt;=0,I18=""),"",MAX(0,E18-H18)/I18),"")</x:f>
      </x:c>
      <x:c r="K18" s="12"/>
      <x:c r="L18" s="12"/>
      <x:c r="M18" s="12"/>
      <x:c r="N18" s="12"/>
    </x:row>
    <x:row r="19">
      <x:c r="A19" s="12"/>
      <x:c r="B19" s="12"/>
      <x:c r="C19" s="12"/>
      <x:c r="D19" s="12"/>
      <x:c r="E19" s="18"/>
      <x:c r="F19" s="12"/>
      <x:c r="G19" s="12"/>
      <x:c r="H19" s="18"/>
      <x:c r="I19" s="18"/>
      <x:c r="J19" s="18" t="str">
        <x:f>IFERROR(IF(OR(E19&lt;=0,I19=""),"",MAX(0,E19-H19)/I19),"")</x:f>
      </x:c>
      <x:c r="K19" s="12"/>
      <x:c r="L19" s="12"/>
      <x:c r="M19" s="12"/>
      <x:c r="N19" s="12"/>
    </x:row>
    <x:row r="20">
      <x:c r="A20" s="12"/>
      <x:c r="B20" s="12"/>
      <x:c r="C20" s="12"/>
      <x:c r="D20" s="12"/>
      <x:c r="E20" s="18"/>
      <x:c r="F20" s="12"/>
      <x:c r="G20" s="12"/>
      <x:c r="H20" s="18"/>
      <x:c r="I20" s="18"/>
      <x:c r="J20" s="18" t="str">
        <x:f>IFERROR(IF(OR(E20&lt;=0,I20=""),"",MAX(0,E20-H20)/I20),"")</x:f>
      </x:c>
      <x:c r="K20" s="12"/>
      <x:c r="L20" s="12"/>
      <x:c r="M20" s="12"/>
      <x:c r="N20" s="12"/>
    </x:row>
    <x:row r="21">
      <x:c r="A21" s="12"/>
      <x:c r="B21" s="12"/>
      <x:c r="C21" s="12"/>
      <x:c r="D21" s="12"/>
      <x:c r="E21" s="18"/>
      <x:c r="F21" s="12"/>
      <x:c r="G21" s="12"/>
      <x:c r="H21" s="18"/>
      <x:c r="I21" s="18"/>
      <x:c r="J21" s="18" t="str">
        <x:f>IFERROR(IF(OR(E21&lt;=0,I21=""),"",MAX(0,E21-H21)/I21),"")</x:f>
      </x:c>
      <x:c r="K21" s="12"/>
      <x:c r="L21" s="12"/>
      <x:c r="M21" s="12"/>
      <x:c r="N21" s="12"/>
    </x:row>
    <x:row r="22">
      <x:c r="A22" s="12"/>
      <x:c r="B22" s="12"/>
      <x:c r="C22" s="12"/>
      <x:c r="D22" s="12"/>
      <x:c r="E22" s="18"/>
      <x:c r="F22" s="12"/>
      <x:c r="G22" s="12"/>
      <x:c r="H22" s="18"/>
      <x:c r="I22" s="18"/>
      <x:c r="J22" s="18" t="str">
        <x:f>IFERROR(IF(OR(E22&lt;=0,I22=""),"",MAX(0,E22-H22)/I22),"")</x:f>
      </x:c>
      <x:c r="K22" s="12"/>
      <x:c r="L22" s="12"/>
      <x:c r="M22" s="12"/>
      <x:c r="N22" s="12"/>
    </x:row>
    <x:row r="23">
      <x:c r="A23" s="12"/>
      <x:c r="B23" s="12"/>
      <x:c r="C23" s="12"/>
      <x:c r="D23" s="12"/>
      <x:c r="E23" s="18"/>
      <x:c r="F23" s="12"/>
      <x:c r="G23" s="12"/>
      <x:c r="H23" s="18"/>
      <x:c r="I23" s="18"/>
      <x:c r="J23" s="18" t="str">
        <x:f>IFERROR(IF(OR(E23&lt;=0,I23=""),"",MAX(0,E23-H23)/I23),"")</x:f>
      </x:c>
      <x:c r="K23" s="12"/>
      <x:c r="L23" s="12"/>
      <x:c r="M23" s="12"/>
      <x:c r="N23" s="12"/>
    </x:row>
    <x:row r="24">
      <x:c r="A24" s="12"/>
      <x:c r="B24" s="12"/>
      <x:c r="C24" s="12"/>
      <x:c r="D24" s="12"/>
      <x:c r="E24" s="18"/>
      <x:c r="F24" s="12"/>
      <x:c r="G24" s="12"/>
      <x:c r="H24" s="18"/>
      <x:c r="I24" s="18"/>
      <x:c r="J24" s="18" t="str">
        <x:f>IFERROR(IF(OR(E24&lt;=0,I24=""),"",MAX(0,E24-H24)/I24),"")</x:f>
      </x:c>
      <x:c r="K24" s="12"/>
      <x:c r="L24" s="12"/>
      <x:c r="M24" s="12"/>
      <x:c r="N24" s="12"/>
    </x:row>
    <x:row r="25">
      <x:c r="A25" s="12"/>
      <x:c r="B25" s="12"/>
      <x:c r="C25" s="12"/>
      <x:c r="D25" s="12"/>
      <x:c r="E25" s="18"/>
      <x:c r="F25" s="12"/>
      <x:c r="G25" s="12"/>
      <x:c r="H25" s="18"/>
      <x:c r="I25" s="18"/>
      <x:c r="J25" s="18" t="str">
        <x:f>IFERROR(IF(OR(E25&lt;=0,I25=""),"",MAX(0,E25-H25)/I25),"")</x:f>
      </x:c>
      <x:c r="K25" s="12"/>
      <x:c r="L25" s="12"/>
      <x:c r="M25" s="12"/>
      <x:c r="N25" s="12"/>
    </x:row>
    <x:row r="26">
      <x:c r="A26" s="12"/>
      <x:c r="B26" s="12"/>
      <x:c r="C26" s="12"/>
      <x:c r="D26" s="12"/>
      <x:c r="E26" s="18"/>
      <x:c r="F26" s="12"/>
      <x:c r="G26" s="12"/>
      <x:c r="H26" s="18"/>
      <x:c r="I26" s="18"/>
      <x:c r="J26" s="18" t="str">
        <x:f>IFERROR(IF(OR(E26&lt;=0,I26=""),"",MAX(0,E26-H26)/I26),"")</x:f>
      </x:c>
      <x:c r="K26" s="12"/>
      <x:c r="L26" s="12"/>
      <x:c r="M26" s="12"/>
      <x:c r="N26" s="12"/>
    </x:row>
    <x:row r="27">
      <x:c r="A27" s="12"/>
      <x:c r="B27" s="12"/>
      <x:c r="C27" s="12"/>
      <x:c r="D27" s="12"/>
      <x:c r="E27" s="18"/>
      <x:c r="F27" s="12"/>
      <x:c r="G27" s="12"/>
      <x:c r="H27" s="18"/>
      <x:c r="I27" s="18"/>
      <x:c r="J27" s="18" t="str">
        <x:f>IFERROR(IF(OR(E27&lt;=0,I27=""),"",MAX(0,E27-H27)/I27),"")</x:f>
      </x:c>
      <x:c r="K27" s="12"/>
      <x:c r="L27" s="12"/>
      <x:c r="M27" s="12"/>
      <x:c r="N27" s="12"/>
    </x:row>
    <x:row r="28">
      <x:c r="A28" s="12"/>
      <x:c r="B28" s="12"/>
      <x:c r="C28" s="12"/>
      <x:c r="D28" s="12"/>
      <x:c r="E28" s="18"/>
      <x:c r="F28" s="12"/>
      <x:c r="G28" s="12"/>
      <x:c r="H28" s="18"/>
      <x:c r="I28" s="18"/>
      <x:c r="J28" s="18" t="str">
        <x:f>IFERROR(IF(OR(E28&lt;=0,I28=""),"",MAX(0,E28-H28)/I28),"")</x:f>
      </x:c>
      <x:c r="K28" s="12"/>
      <x:c r="L28" s="12"/>
      <x:c r="M28" s="12"/>
      <x:c r="N28" s="12"/>
    </x:row>
    <x:row r="29">
      <x:c r="A29" s="12"/>
      <x:c r="B29" s="12"/>
      <x:c r="C29" s="12"/>
      <x:c r="D29" s="12"/>
      <x:c r="E29" s="18"/>
      <x:c r="F29" s="12"/>
      <x:c r="G29" s="12"/>
      <x:c r="H29" s="18"/>
      <x:c r="I29" s="18"/>
      <x:c r="J29" s="18" t="str">
        <x:f>IFERROR(IF(OR(E29&lt;=0,I29=""),"",MAX(0,E29-H29)/I29),"")</x:f>
      </x:c>
      <x:c r="K29" s="12"/>
      <x:c r="L29" s="12"/>
      <x:c r="M29" s="12"/>
      <x:c r="N29" s="12"/>
    </x:row>
    <x:row r="30">
      <x:c r="A30" s="12"/>
      <x:c r="B30" s="12"/>
      <x:c r="C30" s="12"/>
      <x:c r="D30" s="12"/>
      <x:c r="E30" s="18"/>
      <x:c r="F30" s="12"/>
      <x:c r="G30" s="12"/>
      <x:c r="H30" s="18"/>
      <x:c r="I30" s="18"/>
      <x:c r="J30" s="18" t="str">
        <x:f>IFERROR(IF(OR(E30&lt;=0,I30=""),"",MAX(0,E30-H30)/I30),"")</x:f>
      </x:c>
      <x:c r="K30" s="12"/>
      <x:c r="L30" s="12"/>
      <x:c r="M30" s="12"/>
      <x:c r="N30" s="12"/>
    </x:row>
    <x:row r="31">
      <x:c r="A31" s="12"/>
      <x:c r="B31" s="12"/>
      <x:c r="C31" s="12"/>
      <x:c r="D31" s="12"/>
      <x:c r="E31" s="18"/>
      <x:c r="F31" s="12"/>
      <x:c r="G31" s="12"/>
      <x:c r="H31" s="18"/>
      <x:c r="I31" s="18"/>
      <x:c r="J31" s="18" t="str">
        <x:f>IFERROR(IF(OR(E31&lt;=0,I31=""),"",MAX(0,E31-H31)/I31),"")</x:f>
      </x:c>
      <x:c r="K31" s="12"/>
      <x:c r="L31" s="12"/>
      <x:c r="M31" s="12"/>
      <x:c r="N31" s="12"/>
    </x:row>
    <x:row r="32">
      <x:c r="A32" s="12"/>
      <x:c r="B32" s="12"/>
      <x:c r="C32" s="12"/>
      <x:c r="D32" s="12"/>
      <x:c r="E32" s="18"/>
      <x:c r="F32" s="12"/>
      <x:c r="G32" s="12"/>
      <x:c r="H32" s="18"/>
      <x:c r="I32" s="18"/>
      <x:c r="J32" s="18" t="str">
        <x:f>IFERROR(IF(OR(E32&lt;=0,I32=""),"",MAX(0,E32-H32)/I32),"")</x:f>
      </x:c>
      <x:c r="K32" s="12"/>
      <x:c r="L32" s="12"/>
      <x:c r="M32" s="12"/>
      <x:c r="N32" s="12"/>
    </x:row>
    <x:row r="33">
      <x:c r="A33" s="12"/>
      <x:c r="B33" s="12"/>
      <x:c r="C33" s="12"/>
      <x:c r="D33" s="12"/>
      <x:c r="E33" s="18"/>
      <x:c r="F33" s="12"/>
      <x:c r="G33" s="12"/>
      <x:c r="H33" s="18"/>
      <x:c r="I33" s="18"/>
      <x:c r="J33" s="18" t="str">
        <x:f>IFERROR(IF(OR(E33&lt;=0,I33=""),"",MAX(0,E33-H33)/I33),"")</x:f>
      </x:c>
      <x:c r="K33" s="12"/>
      <x:c r="L33" s="12"/>
      <x:c r="M33" s="12"/>
      <x:c r="N33" s="12"/>
    </x:row>
    <x:row r="34">
      <x:c r="A34" s="12"/>
      <x:c r="B34" s="12"/>
      <x:c r="C34" s="12"/>
      <x:c r="D34" s="12"/>
      <x:c r="E34" s="18"/>
      <x:c r="F34" s="12"/>
      <x:c r="G34" s="12"/>
      <x:c r="H34" s="18"/>
      <x:c r="I34" s="18"/>
      <x:c r="J34" s="18" t="str">
        <x:f>IFERROR(IF(OR(E34&lt;=0,I34=""),"",MAX(0,E34-H34)/I34),"")</x:f>
      </x:c>
      <x:c r="K34" s="12"/>
      <x:c r="L34" s="12"/>
      <x:c r="M34" s="12"/>
      <x:c r="N34" s="12"/>
    </x:row>
    <x:row r="35">
      <x:c r="A35" s="12"/>
      <x:c r="B35" s="12"/>
      <x:c r="C35" s="12"/>
      <x:c r="D35" s="12"/>
      <x:c r="E35" s="18"/>
      <x:c r="F35" s="12"/>
      <x:c r="G35" s="12"/>
      <x:c r="H35" s="18"/>
      <x:c r="I35" s="18"/>
      <x:c r="J35" s="18" t="str">
        <x:f>IFERROR(IF(OR(E35&lt;=0,I35=""),"",MAX(0,E35-H35)/I35),"")</x:f>
      </x:c>
      <x:c r="K35" s="12"/>
      <x:c r="L35" s="12"/>
      <x:c r="M35" s="12"/>
      <x:c r="N35" s="12"/>
    </x:row>
    <x:row r="36">
      <x:c r="A36" s="12"/>
      <x:c r="B36" s="12"/>
      <x:c r="C36" s="12"/>
      <x:c r="D36" s="12"/>
      <x:c r="E36" s="18"/>
      <x:c r="F36" s="12"/>
      <x:c r="G36" s="12"/>
      <x:c r="H36" s="18"/>
      <x:c r="I36" s="18"/>
      <x:c r="J36" s="18" t="str">
        <x:f>IFERROR(IF(OR(E36&lt;=0,I36=""),"",MAX(0,E36-H36)/I36),"")</x:f>
      </x:c>
      <x:c r="K36" s="12"/>
      <x:c r="L36" s="12"/>
      <x:c r="M36" s="12"/>
      <x:c r="N36" s="12"/>
    </x:row>
    <x:row r="37">
      <x:c r="A37" s="12"/>
      <x:c r="B37" s="12"/>
      <x:c r="C37" s="12"/>
      <x:c r="D37" s="12"/>
      <x:c r="E37" s="18"/>
      <x:c r="F37" s="12"/>
      <x:c r="G37" s="12"/>
      <x:c r="H37" s="18"/>
      <x:c r="I37" s="18"/>
      <x:c r="J37" s="18" t="str">
        <x:f>IFERROR(IF(OR(E37&lt;=0,I37=""),"",MAX(0,E37-H37)/I37),"")</x:f>
      </x:c>
      <x:c r="K37" s="12"/>
      <x:c r="L37" s="12"/>
      <x:c r="M37" s="12"/>
      <x:c r="N37" s="12"/>
    </x:row>
    <x:row r="38">
      <x:c r="A38" s="12"/>
      <x:c r="B38" s="12"/>
      <x:c r="C38" s="12"/>
      <x:c r="D38" s="12"/>
      <x:c r="E38" s="18"/>
      <x:c r="F38" s="12"/>
      <x:c r="G38" s="12"/>
      <x:c r="H38" s="18"/>
      <x:c r="I38" s="18"/>
      <x:c r="J38" s="18" t="str">
        <x:f>IFERROR(IF(OR(E38&lt;=0,I38=""),"",MAX(0,E38-H38)/I38),"")</x:f>
      </x:c>
      <x:c r="K38" s="12"/>
      <x:c r="L38" s="12"/>
      <x:c r="M38" s="12"/>
      <x:c r="N38" s="12"/>
    </x:row>
    <x:row r="39">
      <x:c r="A39" s="12"/>
      <x:c r="B39" s="12"/>
      <x:c r="C39" s="12"/>
      <x:c r="D39" s="12"/>
      <x:c r="E39" s="18"/>
      <x:c r="F39" s="12"/>
      <x:c r="G39" s="12"/>
      <x:c r="H39" s="18"/>
      <x:c r="I39" s="18"/>
      <x:c r="J39" s="18" t="str">
        <x:f>IFERROR(IF(OR(E39&lt;=0,I39=""),"",MAX(0,E39-H39)/I39),"")</x:f>
      </x:c>
      <x:c r="K39" s="12"/>
      <x:c r="L39" s="12"/>
      <x:c r="M39" s="12"/>
      <x:c r="N39" s="12"/>
    </x:row>
    <x:row r="40">
      <x:c r="A40" s="12"/>
      <x:c r="B40" s="12"/>
      <x:c r="C40" s="12"/>
      <x:c r="D40" s="12"/>
      <x:c r="E40" s="18"/>
      <x:c r="F40" s="12"/>
      <x:c r="G40" s="12"/>
      <x:c r="H40" s="18"/>
      <x:c r="I40" s="18"/>
      <x:c r="J40" s="18" t="str">
        <x:f>IFERROR(IF(OR(E40&lt;=0,I40=""),"",MAX(0,E40-H40)/I40),"")</x:f>
      </x:c>
      <x:c r="K40" s="12"/>
      <x:c r="L40" s="12"/>
      <x:c r="M40" s="12"/>
      <x:c r="N40" s="12"/>
    </x:row>
    <x:row r="41">
      <x:c r="A41" s="12"/>
      <x:c r="B41" s="12"/>
      <x:c r="C41" s="12"/>
      <x:c r="D41" s="12"/>
      <x:c r="E41" s="18"/>
      <x:c r="F41" s="12"/>
      <x:c r="G41" s="12"/>
      <x:c r="H41" s="18"/>
      <x:c r="I41" s="18"/>
      <x:c r="J41" s="18" t="str">
        <x:f>IFERROR(IF(OR(E41&lt;=0,I41=""),"",MAX(0,E41-H41)/I41),"")</x:f>
      </x:c>
      <x:c r="K41" s="12"/>
      <x:c r="L41" s="12"/>
      <x:c r="M41" s="12"/>
      <x:c r="N41" s="12"/>
    </x:row>
    <x:row r="42">
      <x:c r="A42" s="12"/>
      <x:c r="B42" s="12"/>
      <x:c r="C42" s="12"/>
      <x:c r="D42" s="12"/>
      <x:c r="E42" s="18"/>
      <x:c r="F42" s="12"/>
      <x:c r="G42" s="12"/>
      <x:c r="H42" s="18"/>
      <x:c r="I42" s="18"/>
      <x:c r="J42" s="18" t="str">
        <x:f>IFERROR(IF(OR(E42&lt;=0,I42=""),"",MAX(0,E42-H42)/I42),"")</x:f>
      </x:c>
      <x:c r="K42" s="12"/>
      <x:c r="L42" s="12"/>
      <x:c r="M42" s="12"/>
      <x:c r="N42" s="12"/>
    </x:row>
    <x:row r="43">
      <x:c r="A43" s="12"/>
      <x:c r="B43" s="12"/>
      <x:c r="C43" s="12"/>
      <x:c r="D43" s="12"/>
      <x:c r="E43" s="18"/>
      <x:c r="F43" s="12"/>
      <x:c r="G43" s="12"/>
      <x:c r="H43" s="18"/>
      <x:c r="I43" s="18"/>
      <x:c r="J43" s="18" t="str">
        <x:f>IFERROR(IF(OR(E43&lt;=0,I43=""),"",MAX(0,E43-H43)/I43),"")</x:f>
      </x:c>
      <x:c r="K43" s="12"/>
      <x:c r="L43" s="12"/>
      <x:c r="M43" s="12"/>
      <x:c r="N43" s="12"/>
    </x:row>
    <x:row r="44">
      <x:c r="A44" s="12"/>
      <x:c r="B44" s="12"/>
      <x:c r="C44" s="12"/>
      <x:c r="D44" s="12"/>
      <x:c r="E44" s="18"/>
      <x:c r="F44" s="12"/>
      <x:c r="G44" s="12"/>
      <x:c r="H44" s="18"/>
      <x:c r="I44" s="18"/>
      <x:c r="J44" s="18" t="str">
        <x:f>IFERROR(IF(OR(E44&lt;=0,I44=""),"",MAX(0,E44-H44)/I44),"")</x:f>
      </x:c>
      <x:c r="K44" s="12"/>
      <x:c r="L44" s="12"/>
      <x:c r="M44" s="12"/>
      <x:c r="N44" s="12"/>
    </x:row>
    <x:row r="45">
      <x:c r="A45" s="12"/>
      <x:c r="B45" s="12"/>
      <x:c r="C45" s="12"/>
      <x:c r="D45" s="12"/>
      <x:c r="E45" s="18"/>
      <x:c r="F45" s="12"/>
      <x:c r="G45" s="12"/>
      <x:c r="H45" s="18"/>
      <x:c r="I45" s="18"/>
      <x:c r="J45" s="18" t="str">
        <x:f>IFERROR(IF(OR(E45&lt;=0,I45=""),"",MAX(0,E45-H45)/I45),"")</x:f>
      </x:c>
      <x:c r="K45" s="12"/>
      <x:c r="L45" s="12"/>
      <x:c r="M45" s="12"/>
      <x:c r="N45" s="12"/>
    </x:row>
    <x:row r="46">
      <x:c r="A46" s="12"/>
      <x:c r="B46" s="12"/>
      <x:c r="C46" s="12"/>
      <x:c r="D46" s="12"/>
      <x:c r="E46" s="18"/>
      <x:c r="F46" s="12"/>
      <x:c r="G46" s="12"/>
      <x:c r="H46" s="18"/>
      <x:c r="I46" s="18"/>
      <x:c r="J46" s="18" t="str">
        <x:f>IFERROR(IF(OR(E46&lt;=0,I46=""),"",MAX(0,E46-H46)/I46),"")</x:f>
      </x:c>
      <x:c r="K46" s="12"/>
      <x:c r="L46" s="12"/>
      <x:c r="M46" s="12"/>
      <x:c r="N46" s="12"/>
    </x:row>
    <x:row r="47">
      <x:c r="A47" s="12"/>
      <x:c r="B47" s="12"/>
      <x:c r="C47" s="12"/>
      <x:c r="D47" s="12"/>
      <x:c r="E47" s="18"/>
      <x:c r="F47" s="12"/>
      <x:c r="G47" s="12"/>
      <x:c r="H47" s="18"/>
      <x:c r="I47" s="18"/>
      <x:c r="J47" s="18" t="str">
        <x:f>IFERROR(IF(OR(E47&lt;=0,I47=""),"",MAX(0,E47-H47)/I47),"")</x:f>
      </x:c>
      <x:c r="K47" s="12"/>
      <x:c r="L47" s="12"/>
      <x:c r="M47" s="12"/>
      <x:c r="N47" s="12"/>
    </x:row>
    <x:row r="48">
      <x:c r="A48" s="12"/>
      <x:c r="B48" s="12"/>
      <x:c r="C48" s="12"/>
      <x:c r="D48" s="12"/>
      <x:c r="E48" s="18"/>
      <x:c r="F48" s="12"/>
      <x:c r="G48" s="12"/>
      <x:c r="H48" s="18"/>
      <x:c r="I48" s="18"/>
      <x:c r="J48" s="18" t="str">
        <x:f>IFERROR(IF(OR(E48&lt;=0,I48=""),"",MAX(0,E48-H48)/I48),"")</x:f>
      </x:c>
      <x:c r="K48" s="12"/>
      <x:c r="L48" s="12"/>
      <x:c r="M48" s="12"/>
      <x:c r="N48" s="12"/>
    </x:row>
    <x:row r="49">
      <x:c r="A49" s="12"/>
      <x:c r="B49" s="12"/>
      <x:c r="C49" s="12"/>
      <x:c r="D49" s="12"/>
      <x:c r="E49" s="18"/>
      <x:c r="F49" s="12"/>
      <x:c r="G49" s="12"/>
      <x:c r="H49" s="18"/>
      <x:c r="I49" s="18"/>
      <x:c r="J49" s="18" t="str">
        <x:f>IFERROR(IF(OR(E49&lt;=0,I49=""),"",MAX(0,E49-H49)/I49),"")</x:f>
      </x:c>
      <x:c r="K49" s="12"/>
      <x:c r="L49" s="12"/>
      <x:c r="M49" s="12"/>
      <x:c r="N49" s="12"/>
    </x:row>
    <x:row r="50">
      <x:c r="A50" s="12"/>
      <x:c r="B50" s="12"/>
      <x:c r="C50" s="12"/>
      <x:c r="D50" s="12"/>
      <x:c r="E50" s="18"/>
      <x:c r="F50" s="12"/>
      <x:c r="G50" s="12"/>
      <x:c r="H50" s="18"/>
      <x:c r="I50" s="18"/>
      <x:c r="J50" s="18" t="str">
        <x:f>IFERROR(IF(OR(E50&lt;=0,I50=""),"",MAX(0,E50-H50)/I50),"")</x:f>
      </x:c>
      <x:c r="K50" s="12"/>
      <x:c r="L50" s="12"/>
      <x:c r="M50" s="12"/>
      <x:c r="N50" s="12"/>
    </x:row>
    <x:row r="51">
      <x:c r="A51" s="12"/>
      <x:c r="B51" s="12"/>
      <x:c r="C51" s="12"/>
      <x:c r="D51" s="12"/>
      <x:c r="E51" s="18"/>
      <x:c r="F51" s="12"/>
      <x:c r="G51" s="12"/>
      <x:c r="H51" s="18"/>
      <x:c r="I51" s="18"/>
      <x:c r="J51" s="18" t="str">
        <x:f>IFERROR(IF(OR(E51&lt;=0,I51=""),"",MAX(0,E51-H51)/I51),"")</x:f>
      </x:c>
      <x:c r="K51" s="12"/>
      <x:c r="L51" s="12"/>
      <x:c r="M51" s="12"/>
      <x:c r="N51" s="12"/>
    </x:row>
    <x:row r="52">
      <x:c r="A52" s="12"/>
      <x:c r="B52" s="12"/>
      <x:c r="C52" s="12"/>
      <x:c r="D52" s="12"/>
      <x:c r="E52" s="18"/>
      <x:c r="F52" s="12"/>
      <x:c r="G52" s="12"/>
      <x:c r="H52" s="18"/>
      <x:c r="I52" s="18"/>
      <x:c r="J52" s="18" t="str">
        <x:f>IFERROR(IF(OR(E52&lt;=0,I52=""),"",MAX(0,E52-H52)/I52),"")</x:f>
      </x:c>
      <x:c r="K52" s="12"/>
      <x:c r="L52" s="12"/>
      <x:c r="M52" s="12"/>
      <x:c r="N52" s="12"/>
    </x:row>
    <x:row r="53">
      <x:c r="A53" s="12"/>
      <x:c r="B53" s="12"/>
      <x:c r="C53" s="12"/>
      <x:c r="D53" s="12"/>
      <x:c r="E53" s="18"/>
      <x:c r="F53" s="12"/>
      <x:c r="G53" s="12"/>
      <x:c r="H53" s="18"/>
      <x:c r="I53" s="18"/>
      <x:c r="J53" s="18" t="str">
        <x:f>IFERROR(IF(OR(E53&lt;=0,I53=""),"",MAX(0,E53-H53)/I53),"")</x:f>
      </x:c>
      <x:c r="K53" s="12"/>
      <x:c r="L53" s="12"/>
      <x:c r="M53" s="12"/>
      <x:c r="N53" s="12"/>
    </x:row>
    <x:row r="54">
      <x:c r="A54" s="12"/>
      <x:c r="B54" s="12"/>
      <x:c r="C54" s="12"/>
      <x:c r="D54" s="12"/>
      <x:c r="E54" s="18"/>
      <x:c r="F54" s="12"/>
      <x:c r="G54" s="12"/>
      <x:c r="H54" s="18"/>
      <x:c r="I54" s="18"/>
      <x:c r="J54" s="18" t="str">
        <x:f>IFERROR(IF(OR(E54&lt;=0,I54=""),"",MAX(0,E54-H54)/I54),"")</x:f>
      </x:c>
      <x:c r="K54" s="12"/>
      <x:c r="L54" s="12"/>
      <x:c r="M54" s="12"/>
      <x:c r="N54" s="12"/>
    </x:row>
    <x:row r="55">
      <x:c r="A55" s="12"/>
      <x:c r="B55" s="12"/>
      <x:c r="C55" s="12"/>
      <x:c r="D55" s="12"/>
      <x:c r="E55" s="18"/>
      <x:c r="F55" s="12"/>
      <x:c r="G55" s="12"/>
      <x:c r="H55" s="18"/>
      <x:c r="I55" s="18"/>
      <x:c r="J55" s="18" t="str">
        <x:f>IFERROR(IF(OR(E55&lt;=0,I55=""),"",MAX(0,E55-H55)/I55),"")</x:f>
      </x:c>
      <x:c r="K55" s="12"/>
      <x:c r="L55" s="12"/>
      <x:c r="M55" s="12"/>
      <x:c r="N55" s="12"/>
    </x:row>
    <x:row r="56">
      <x:c r="A56" s="12"/>
      <x:c r="B56" s="12"/>
      <x:c r="C56" s="12"/>
      <x:c r="D56" s="12"/>
      <x:c r="E56" s="18"/>
      <x:c r="F56" s="12"/>
      <x:c r="G56" s="12"/>
      <x:c r="H56" s="18"/>
      <x:c r="I56" s="18"/>
      <x:c r="J56" s="18" t="str">
        <x:f>IFERROR(IF(OR(E56&lt;=0,I56=""),"",MAX(0,E56-H56)/I56),"")</x:f>
      </x:c>
      <x:c r="K56" s="12"/>
      <x:c r="L56" s="12"/>
      <x:c r="M56" s="12"/>
      <x:c r="N56" s="12"/>
    </x:row>
    <x:row r="57">
      <x:c r="A57" s="12"/>
      <x:c r="B57" s="12"/>
      <x:c r="C57" s="12"/>
      <x:c r="D57" s="12"/>
      <x:c r="E57" s="18"/>
      <x:c r="F57" s="12"/>
      <x:c r="G57" s="12"/>
      <x:c r="H57" s="18"/>
      <x:c r="I57" s="18"/>
      <x:c r="J57" s="18" t="str">
        <x:f>IFERROR(IF(OR(E57&lt;=0,I57=""),"",MAX(0,E57-H57)/I57),"")</x:f>
      </x:c>
      <x:c r="K57" s="12"/>
      <x:c r="L57" s="12"/>
      <x:c r="M57" s="12"/>
      <x:c r="N57" s="12"/>
    </x:row>
    <x:row r="58">
      <x:c r="A58" s="12"/>
      <x:c r="B58" s="12"/>
      <x:c r="C58" s="12"/>
      <x:c r="D58" s="12"/>
      <x:c r="E58" s="18"/>
      <x:c r="F58" s="12"/>
      <x:c r="G58" s="12"/>
      <x:c r="H58" s="18"/>
      <x:c r="I58" s="18"/>
      <x:c r="J58" s="18" t="str">
        <x:f>IFERROR(IF(OR(E58&lt;=0,I58=""),"",MAX(0,E58-H58)/I58),"")</x:f>
      </x:c>
      <x:c r="K58" s="12"/>
      <x:c r="L58" s="12"/>
      <x:c r="M58" s="12"/>
      <x:c r="N58" s="12"/>
    </x:row>
    <x:row r="59">
      <x:c r="A59" s="12"/>
      <x:c r="B59" s="12"/>
      <x:c r="C59" s="12"/>
      <x:c r="D59" s="12"/>
      <x:c r="E59" s="18"/>
      <x:c r="F59" s="12"/>
      <x:c r="G59" s="12"/>
      <x:c r="H59" s="18"/>
      <x:c r="I59" s="18"/>
      <x:c r="J59" s="18" t="str">
        <x:f>IFERROR(IF(OR(E59&lt;=0,I59=""),"",MAX(0,E59-H59)/I59),"")</x:f>
      </x:c>
      <x:c r="K59" s="12"/>
      <x:c r="L59" s="12"/>
      <x:c r="M59" s="12"/>
      <x:c r="N59" s="12"/>
    </x:row>
    <x:row r="60">
      <x:c r="A60" s="12"/>
      <x:c r="B60" s="12"/>
      <x:c r="C60" s="12"/>
      <x:c r="D60" s="12"/>
      <x:c r="E60" s="18"/>
      <x:c r="F60" s="12"/>
      <x:c r="G60" s="12"/>
      <x:c r="H60" s="18"/>
      <x:c r="I60" s="18"/>
      <x:c r="J60" s="18" t="str">
        <x:f>IFERROR(IF(OR(E60&lt;=0,I60=""),"",MAX(0,E60-H60)/I60),"")</x:f>
      </x:c>
      <x:c r="K60" s="12"/>
      <x:c r="L60" s="12"/>
      <x:c r="M60" s="12"/>
      <x:c r="N60" s="12"/>
    </x:row>
    <x:row r="61">
      <x:c r="A61" s="12"/>
      <x:c r="B61" s="12"/>
      <x:c r="C61" s="12"/>
      <x:c r="D61" s="12"/>
      <x:c r="E61" s="18"/>
      <x:c r="F61" s="12"/>
      <x:c r="G61" s="12"/>
      <x:c r="H61" s="18"/>
      <x:c r="I61" s="18"/>
      <x:c r="J61" s="18" t="str">
        <x:f>IFERROR(IF(OR(E61&lt;=0,I61=""),"",MAX(0,E61-H61)/I61),"")</x:f>
      </x:c>
      <x:c r="K61" s="12"/>
      <x:c r="L61" s="12"/>
      <x:c r="M61" s="12"/>
      <x:c r="N61" s="12"/>
    </x:row>
    <x:row r="62">
      <x:c r="A62" s="12"/>
      <x:c r="B62" s="12"/>
      <x:c r="C62" s="12"/>
      <x:c r="D62" s="12"/>
      <x:c r="E62" s="18"/>
      <x:c r="F62" s="12"/>
      <x:c r="G62" s="12"/>
      <x:c r="H62" s="18"/>
      <x:c r="I62" s="18"/>
      <x:c r="J62" s="18" t="str">
        <x:f>IFERROR(IF(OR(E62&lt;=0,I62=""),"",MAX(0,E62-H62)/I62),"")</x:f>
      </x:c>
      <x:c r="K62" s="12"/>
      <x:c r="L62" s="12"/>
      <x:c r="M62" s="12"/>
      <x:c r="N62" s="12"/>
    </x:row>
    <x:row r="63">
      <x:c r="A63" s="12"/>
      <x:c r="B63" s="12"/>
      <x:c r="C63" s="12"/>
      <x:c r="D63" s="12"/>
      <x:c r="E63" s="18"/>
      <x:c r="F63" s="12"/>
      <x:c r="G63" s="12"/>
      <x:c r="H63" s="18"/>
      <x:c r="I63" s="18"/>
      <x:c r="J63" s="18" t="str">
        <x:f>IFERROR(IF(OR(E63&lt;=0,I63=""),"",MAX(0,E63-H63)/I63),"")</x:f>
      </x:c>
      <x:c r="K63" s="12"/>
      <x:c r="L63" s="12"/>
      <x:c r="M63" s="12"/>
      <x:c r="N63" s="12"/>
    </x:row>
    <x:row r="64">
      <x:c r="A64" s="12"/>
      <x:c r="B64" s="12"/>
      <x:c r="C64" s="12"/>
      <x:c r="D64" s="12"/>
      <x:c r="E64" s="18"/>
      <x:c r="F64" s="12"/>
      <x:c r="G64" s="12"/>
      <x:c r="H64" s="18"/>
      <x:c r="I64" s="18"/>
      <x:c r="J64" s="18" t="str">
        <x:f>IFERROR(IF(OR(E64&lt;=0,I64=""),"",MAX(0,E64-H64)/I64),"")</x:f>
      </x:c>
      <x:c r="K64" s="12"/>
      <x:c r="L64" s="12"/>
      <x:c r="M64" s="12"/>
      <x:c r="N64" s="12"/>
    </x:row>
    <x:row r="65">
      <x:c r="A65" s="12"/>
      <x:c r="B65" s="12"/>
      <x:c r="C65" s="12"/>
      <x:c r="D65" s="12"/>
      <x:c r="E65" s="18"/>
      <x:c r="F65" s="12"/>
      <x:c r="G65" s="12"/>
      <x:c r="H65" s="18"/>
      <x:c r="I65" s="18"/>
      <x:c r="J65" s="18" t="str">
        <x:f>IFERROR(IF(OR(E65&lt;=0,I65=""),"",MAX(0,E65-H65)/I65),"")</x:f>
      </x:c>
      <x:c r="K65" s="12"/>
      <x:c r="L65" s="12"/>
      <x:c r="M65" s="12"/>
      <x:c r="N65" s="12"/>
    </x:row>
    <x:row r="66">
      <x:c r="A66" s="12"/>
      <x:c r="B66" s="12"/>
      <x:c r="C66" s="12"/>
      <x:c r="D66" s="12"/>
      <x:c r="E66" s="18"/>
      <x:c r="F66" s="12"/>
      <x:c r="G66" s="12"/>
      <x:c r="H66" s="18"/>
      <x:c r="I66" s="18"/>
      <x:c r="J66" s="18" t="str">
        <x:f>IFERROR(IF(OR(E66&lt;=0,I66=""),"",MAX(0,E66-H66)/I66),"")</x:f>
      </x:c>
      <x:c r="K66" s="12"/>
      <x:c r="L66" s="12"/>
      <x:c r="M66" s="12"/>
      <x:c r="N66" s="12"/>
    </x:row>
    <x:row r="67">
      <x:c r="A67" s="12"/>
      <x:c r="B67" s="12"/>
      <x:c r="C67" s="12"/>
      <x:c r="D67" s="12"/>
      <x:c r="E67" s="18"/>
      <x:c r="F67" s="12"/>
      <x:c r="G67" s="12"/>
      <x:c r="H67" s="18"/>
      <x:c r="I67" s="18"/>
      <x:c r="J67" s="18" t="str">
        <x:f>IFERROR(IF(OR(E67&lt;=0,I67=""),"",MAX(0,E67-H67)/I67),"")</x:f>
      </x:c>
      <x:c r="K67" s="12"/>
      <x:c r="L67" s="12"/>
      <x:c r="M67" s="12"/>
      <x:c r="N67" s="12"/>
    </x:row>
    <x:row r="68">
      <x:c r="A68" s="12"/>
      <x:c r="B68" s="12"/>
      <x:c r="C68" s="12"/>
      <x:c r="D68" s="12"/>
      <x:c r="E68" s="18"/>
      <x:c r="F68" s="12"/>
      <x:c r="G68" s="12"/>
      <x:c r="H68" s="18"/>
      <x:c r="I68" s="18"/>
      <x:c r="J68" s="18" t="str">
        <x:f>IFERROR(IF(OR(E68&lt;=0,I68=""),"",MAX(0,E68-H68)/I68),"")</x:f>
      </x:c>
      <x:c r="K68" s="12"/>
      <x:c r="L68" s="12"/>
      <x:c r="M68" s="12"/>
      <x:c r="N68" s="12"/>
    </x:row>
    <x:row r="69">
      <x:c r="A69" s="12"/>
      <x:c r="B69" s="12"/>
      <x:c r="C69" s="12"/>
      <x:c r="D69" s="12"/>
      <x:c r="E69" s="18"/>
      <x:c r="F69" s="12"/>
      <x:c r="G69" s="12"/>
      <x:c r="H69" s="18"/>
      <x:c r="I69" s="18"/>
      <x:c r="J69" s="18" t="str">
        <x:f>IFERROR(IF(OR(E69&lt;=0,I69=""),"",MAX(0,E69-H69)/I69),"")</x:f>
      </x:c>
      <x:c r="K69" s="12"/>
      <x:c r="L69" s="12"/>
      <x:c r="M69" s="12"/>
      <x:c r="N69" s="12"/>
    </x:row>
    <x:row r="70">
      <x:c r="A70" s="12"/>
      <x:c r="B70" s="12"/>
      <x:c r="C70" s="12"/>
      <x:c r="D70" s="12"/>
      <x:c r="E70" s="18"/>
      <x:c r="F70" s="12"/>
      <x:c r="G70" s="12"/>
      <x:c r="H70" s="18"/>
      <x:c r="I70" s="18"/>
      <x:c r="J70" s="18" t="str">
        <x:f>IFERROR(IF(OR(E70&lt;=0,I70=""),"",MAX(0,E70-H70)/I70),"")</x:f>
      </x:c>
      <x:c r="K70" s="12"/>
      <x:c r="L70" s="12"/>
      <x:c r="M70" s="12"/>
      <x:c r="N70" s="12"/>
    </x:row>
    <x:row r="71">
      <x:c r="A71" s="12"/>
      <x:c r="B71" s="12"/>
      <x:c r="C71" s="12"/>
      <x:c r="D71" s="12"/>
      <x:c r="E71" s="18"/>
      <x:c r="F71" s="12"/>
      <x:c r="G71" s="12"/>
      <x:c r="H71" s="18"/>
      <x:c r="I71" s="18"/>
      <x:c r="J71" s="18" t="str">
        <x:f>IFERROR(IF(OR(E71&lt;=0,I71=""),"",MAX(0,E71-H71)/I71),"")</x:f>
      </x:c>
      <x:c r="K71" s="12"/>
      <x:c r="L71" s="12"/>
      <x:c r="M71" s="12"/>
      <x:c r="N71" s="12"/>
    </x:row>
    <x:row r="72">
      <x:c r="A72" s="12"/>
      <x:c r="B72" s="12"/>
      <x:c r="C72" s="12"/>
      <x:c r="D72" s="12"/>
      <x:c r="E72" s="18"/>
      <x:c r="F72" s="12"/>
      <x:c r="G72" s="12"/>
      <x:c r="H72" s="18"/>
      <x:c r="I72" s="18"/>
      <x:c r="J72" s="18" t="str">
        <x:f>IFERROR(IF(OR(E72&lt;=0,I72=""),"",MAX(0,E72-H72)/I72),"")</x:f>
      </x:c>
      <x:c r="K72" s="12"/>
      <x:c r="L72" s="12"/>
      <x:c r="M72" s="12"/>
      <x:c r="N72" s="12"/>
    </x:row>
    <x:row r="73">
      <x:c r="A73" s="12"/>
      <x:c r="B73" s="12"/>
      <x:c r="C73" s="12"/>
      <x:c r="D73" s="12"/>
      <x:c r="E73" s="18"/>
      <x:c r="F73" s="12"/>
      <x:c r="G73" s="12"/>
      <x:c r="H73" s="18"/>
      <x:c r="I73" s="18"/>
      <x:c r="J73" s="18" t="str">
        <x:f>IFERROR(IF(OR(E73&lt;=0,I73=""),"",MAX(0,E73-H73)/I73),"")</x:f>
      </x:c>
      <x:c r="K73" s="12"/>
      <x:c r="L73" s="12"/>
      <x:c r="M73" s="12"/>
      <x:c r="N73" s="12"/>
    </x:row>
    <x:row r="74">
      <x:c r="A74" s="12"/>
      <x:c r="B74" s="12"/>
      <x:c r="C74" s="12"/>
      <x:c r="D74" s="12"/>
      <x:c r="E74" s="18"/>
      <x:c r="F74" s="12"/>
      <x:c r="G74" s="12"/>
      <x:c r="H74" s="18"/>
      <x:c r="I74" s="18"/>
      <x:c r="J74" s="18" t="str">
        <x:f>IFERROR(IF(OR(E74&lt;=0,I74=""),"",MAX(0,E74-H74)/I74),"")</x:f>
      </x:c>
      <x:c r="K74" s="12"/>
      <x:c r="L74" s="12"/>
      <x:c r="M74" s="12"/>
      <x:c r="N74" s="12"/>
    </x:row>
    <x:row r="75">
      <x:c r="A75" s="12"/>
      <x:c r="B75" s="12"/>
      <x:c r="C75" s="12"/>
      <x:c r="D75" s="12"/>
      <x:c r="E75" s="18"/>
      <x:c r="F75" s="12"/>
      <x:c r="G75" s="12"/>
      <x:c r="H75" s="18"/>
      <x:c r="I75" s="18"/>
      <x:c r="J75" s="18" t="str">
        <x:f>IFERROR(IF(OR(E75&lt;=0,I75=""),"",MAX(0,E75-H75)/I75),"")</x:f>
      </x:c>
      <x:c r="K75" s="12"/>
      <x:c r="L75" s="12"/>
      <x:c r="M75" s="12"/>
      <x:c r="N75" s="12"/>
    </x:row>
    <x:row r="76">
      <x:c r="A76" s="12"/>
      <x:c r="B76" s="12"/>
      <x:c r="C76" s="12"/>
      <x:c r="D76" s="12"/>
      <x:c r="E76" s="18"/>
      <x:c r="F76" s="12"/>
      <x:c r="G76" s="12"/>
      <x:c r="H76" s="18"/>
      <x:c r="I76" s="18"/>
      <x:c r="J76" s="18" t="str">
        <x:f>IFERROR(IF(OR(E76&lt;=0,I76=""),"",MAX(0,E76-H76)/I76),"")</x:f>
      </x:c>
      <x:c r="K76" s="12"/>
      <x:c r="L76" s="12"/>
      <x:c r="M76" s="12"/>
      <x:c r="N76" s="12"/>
    </x:row>
    <x:row r="77">
      <x:c r="A77" s="12"/>
      <x:c r="B77" s="12"/>
      <x:c r="C77" s="12"/>
      <x:c r="D77" s="12"/>
      <x:c r="E77" s="18"/>
      <x:c r="F77" s="12"/>
      <x:c r="G77" s="12"/>
      <x:c r="H77" s="18"/>
      <x:c r="I77" s="18"/>
      <x:c r="J77" s="18" t="str">
        <x:f>IFERROR(IF(OR(E77&lt;=0,I77=""),"",MAX(0,E77-H77)/I77),"")</x:f>
      </x:c>
      <x:c r="K77" s="12"/>
      <x:c r="L77" s="12"/>
      <x:c r="M77" s="12"/>
      <x:c r="N77" s="12"/>
    </x:row>
    <x:row r="78">
      <x:c r="A78" s="12"/>
      <x:c r="B78" s="12"/>
      <x:c r="C78" s="12"/>
      <x:c r="D78" s="12"/>
      <x:c r="E78" s="18"/>
      <x:c r="F78" s="12"/>
      <x:c r="G78" s="12"/>
      <x:c r="H78" s="18"/>
      <x:c r="I78" s="18"/>
      <x:c r="J78" s="18" t="str">
        <x:f>IFERROR(IF(OR(E78&lt;=0,I78=""),"",MAX(0,E78-H78)/I78),"")</x:f>
      </x:c>
      <x:c r="K78" s="12"/>
      <x:c r="L78" s="12"/>
      <x:c r="M78" s="12"/>
      <x:c r="N78" s="12"/>
    </x:row>
    <x:row r="79">
      <x:c r="A79" s="12"/>
      <x:c r="B79" s="12"/>
      <x:c r="C79" s="12"/>
      <x:c r="D79" s="12"/>
      <x:c r="E79" s="18"/>
      <x:c r="F79" s="12"/>
      <x:c r="G79" s="12"/>
      <x:c r="H79" s="18"/>
      <x:c r="I79" s="18"/>
      <x:c r="J79" s="18" t="str">
        <x:f>IFERROR(IF(OR(E79&lt;=0,I79=""),"",MAX(0,E79-H79)/I79),"")</x:f>
      </x:c>
      <x:c r="K79" s="12"/>
      <x:c r="L79" s="12"/>
      <x:c r="M79" s="12"/>
      <x:c r="N79" s="12"/>
    </x:row>
    <x:row r="80">
      <x:c r="A80" s="12"/>
      <x:c r="B80" s="12"/>
      <x:c r="C80" s="12"/>
      <x:c r="D80" s="12"/>
      <x:c r="E80" s="18"/>
      <x:c r="F80" s="12"/>
      <x:c r="G80" s="12"/>
      <x:c r="H80" s="18"/>
      <x:c r="I80" s="18"/>
      <x:c r="J80" s="18" t="str">
        <x:f>IFERROR(IF(OR(E80&lt;=0,I80=""),"",MAX(0,E80-H80)/I80),"")</x:f>
      </x:c>
      <x:c r="K80" s="12"/>
      <x:c r="L80" s="12"/>
      <x:c r="M80" s="12"/>
      <x:c r="N80" s="12"/>
    </x:row>
    <x:row r="81">
      <x:c r="A81" s="12"/>
      <x:c r="B81" s="12"/>
      <x:c r="C81" s="12"/>
      <x:c r="D81" s="12"/>
      <x:c r="E81" s="18"/>
      <x:c r="F81" s="12"/>
      <x:c r="G81" s="12"/>
      <x:c r="H81" s="18"/>
      <x:c r="I81" s="18"/>
      <x:c r="J81" s="18" t="str">
        <x:f>IFERROR(IF(OR(E81&lt;=0,I81=""),"",MAX(0,E81-H81)/I81),"")</x:f>
      </x:c>
      <x:c r="K81" s="12"/>
      <x:c r="L81" s="12"/>
      <x:c r="M81" s="12"/>
      <x:c r="N81" s="12"/>
    </x:row>
    <x:row r="82">
      <x:c r="A82" s="12"/>
      <x:c r="B82" s="12"/>
      <x:c r="C82" s="12"/>
      <x:c r="D82" s="12"/>
      <x:c r="E82" s="18"/>
      <x:c r="F82" s="12"/>
      <x:c r="G82" s="12"/>
      <x:c r="H82" s="18"/>
      <x:c r="I82" s="18"/>
      <x:c r="J82" s="18" t="str">
        <x:f>IFERROR(IF(OR(E82&lt;=0,I82=""),"",MAX(0,E82-H82)/I82),"")</x:f>
      </x:c>
      <x:c r="K82" s="12"/>
      <x:c r="L82" s="12"/>
      <x:c r="M82" s="12"/>
      <x:c r="N82" s="12"/>
    </x:row>
    <x:row r="83">
      <x:c r="A83" s="12"/>
      <x:c r="B83" s="12"/>
      <x:c r="C83" s="12"/>
      <x:c r="D83" s="12"/>
      <x:c r="E83" s="18"/>
      <x:c r="F83" s="12"/>
      <x:c r="G83" s="12"/>
      <x:c r="H83" s="18"/>
      <x:c r="I83" s="18"/>
      <x:c r="J83" s="18" t="str">
        <x:f>IFERROR(IF(OR(E83&lt;=0,I83=""),"",MAX(0,E83-H83)/I83),"")</x:f>
      </x:c>
      <x:c r="K83" s="12"/>
      <x:c r="L83" s="12"/>
      <x:c r="M83" s="12"/>
      <x:c r="N83" s="12"/>
    </x:row>
    <x:row r="84">
      <x:c r="A84" s="12"/>
      <x:c r="B84" s="12"/>
      <x:c r="C84" s="12"/>
      <x:c r="D84" s="12"/>
      <x:c r="E84" s="18"/>
      <x:c r="F84" s="12"/>
      <x:c r="G84" s="12"/>
      <x:c r="H84" s="18"/>
      <x:c r="I84" s="18"/>
      <x:c r="J84" s="18" t="str">
        <x:f>IFERROR(IF(OR(E84&lt;=0,I84=""),"",MAX(0,E84-H84)/I84),"")</x:f>
      </x:c>
      <x:c r="K84" s="12"/>
      <x:c r="L84" s="12"/>
      <x:c r="M84" s="12"/>
      <x:c r="N84" s="12"/>
    </x:row>
    <x:row r="85">
      <x:c r="A85" s="12"/>
      <x:c r="B85" s="12"/>
      <x:c r="C85" s="12"/>
      <x:c r="D85" s="12"/>
      <x:c r="E85" s="18"/>
      <x:c r="F85" s="12"/>
      <x:c r="G85" s="12"/>
      <x:c r="H85" s="18"/>
      <x:c r="I85" s="18"/>
      <x:c r="J85" s="18" t="str">
        <x:f>IFERROR(IF(OR(E85&lt;=0,I85=""),"",MAX(0,E85-H85)/I85),"")</x:f>
      </x:c>
      <x:c r="K85" s="12"/>
      <x:c r="L85" s="12"/>
      <x:c r="M85" s="12"/>
      <x:c r="N85" s="12"/>
    </x:row>
    <x:row r="86">
      <x:c r="A86" s="12"/>
      <x:c r="B86" s="12"/>
      <x:c r="C86" s="12"/>
      <x:c r="D86" s="12"/>
      <x:c r="E86" s="18"/>
      <x:c r="F86" s="12"/>
      <x:c r="G86" s="12"/>
      <x:c r="H86" s="18"/>
      <x:c r="I86" s="18"/>
      <x:c r="J86" s="18" t="str">
        <x:f>IFERROR(IF(OR(E86&lt;=0,I86=""),"",MAX(0,E86-H86)/I86),"")</x:f>
      </x:c>
      <x:c r="K86" s="12"/>
      <x:c r="L86" s="12"/>
      <x:c r="M86" s="12"/>
      <x:c r="N86" s="12"/>
    </x:row>
    <x:row r="87">
      <x:c r="A87" s="12"/>
      <x:c r="B87" s="12"/>
      <x:c r="C87" s="12"/>
      <x:c r="D87" s="12"/>
      <x:c r="E87" s="18"/>
      <x:c r="F87" s="12"/>
      <x:c r="G87" s="12"/>
      <x:c r="H87" s="18"/>
      <x:c r="I87" s="18"/>
      <x:c r="J87" s="18" t="str">
        <x:f>IFERROR(IF(OR(E87&lt;=0,I87=""),"",MAX(0,E87-H87)/I87),"")</x:f>
      </x:c>
      <x:c r="K87" s="12"/>
      <x:c r="L87" s="12"/>
      <x:c r="M87" s="12"/>
      <x:c r="N87" s="12"/>
    </x:row>
    <x:row r="88">
      <x:c r="A88" s="12"/>
      <x:c r="B88" s="12"/>
      <x:c r="C88" s="12"/>
      <x:c r="D88" s="12"/>
      <x:c r="E88" s="18"/>
      <x:c r="F88" s="12"/>
      <x:c r="G88" s="12"/>
      <x:c r="H88" s="18"/>
      <x:c r="I88" s="18"/>
      <x:c r="J88" s="18" t="str">
        <x:f>IFERROR(IF(OR(E88&lt;=0,I88=""),"",MAX(0,E88-H88)/I88),"")</x:f>
      </x:c>
      <x:c r="K88" s="12"/>
      <x:c r="L88" s="12"/>
      <x:c r="M88" s="12"/>
      <x:c r="N88" s="12"/>
    </x:row>
    <x:row r="89">
      <x:c r="A89" s="12"/>
      <x:c r="B89" s="12"/>
      <x:c r="C89" s="12"/>
      <x:c r="D89" s="12"/>
      <x:c r="E89" s="18"/>
      <x:c r="F89" s="12"/>
      <x:c r="G89" s="12"/>
      <x:c r="H89" s="18"/>
      <x:c r="I89" s="18"/>
      <x:c r="J89" s="18" t="str">
        <x:f>IFERROR(IF(OR(E89&lt;=0,I89=""),"",MAX(0,E89-H89)/I89),"")</x:f>
      </x:c>
      <x:c r="K89" s="12"/>
      <x:c r="L89" s="12"/>
      <x:c r="M89" s="12"/>
      <x:c r="N89" s="12"/>
    </x:row>
    <x:row r="90">
      <x:c r="A90" s="12"/>
      <x:c r="B90" s="12"/>
      <x:c r="C90" s="12"/>
      <x:c r="D90" s="12"/>
      <x:c r="E90" s="18"/>
      <x:c r="F90" s="12"/>
      <x:c r="G90" s="12"/>
      <x:c r="H90" s="18"/>
      <x:c r="I90" s="18"/>
      <x:c r="J90" s="18" t="str">
        <x:f>IFERROR(IF(OR(E90&lt;=0,I90=""),"",MAX(0,E90-H90)/I90),"")</x:f>
      </x:c>
      <x:c r="K90" s="12"/>
      <x:c r="L90" s="12"/>
      <x:c r="M90" s="12"/>
      <x:c r="N90" s="12"/>
    </x:row>
    <x:row r="91">
      <x:c r="A91" s="12"/>
      <x:c r="B91" s="12"/>
      <x:c r="C91" s="12"/>
      <x:c r="D91" s="12"/>
      <x:c r="E91" s="18"/>
      <x:c r="F91" s="12"/>
      <x:c r="G91" s="12"/>
      <x:c r="H91" s="18"/>
      <x:c r="I91" s="18"/>
      <x:c r="J91" s="18" t="str">
        <x:f>IFERROR(IF(OR(E91&lt;=0,I91=""),"",MAX(0,E91-H91)/I91),"")</x:f>
      </x:c>
      <x:c r="K91" s="12"/>
      <x:c r="L91" s="12"/>
      <x:c r="M91" s="12"/>
      <x:c r="N91" s="12"/>
    </x:row>
    <x:row r="92">
      <x:c r="A92" s="12"/>
      <x:c r="B92" s="12"/>
      <x:c r="C92" s="12"/>
      <x:c r="D92" s="12"/>
      <x:c r="E92" s="18"/>
      <x:c r="F92" s="12"/>
      <x:c r="G92" s="12"/>
      <x:c r="H92" s="18"/>
      <x:c r="I92" s="18"/>
      <x:c r="J92" s="18" t="str">
        <x:f>IFERROR(IF(OR(E92&lt;=0,I92=""),"",MAX(0,E92-H92)/I92),"")</x:f>
      </x:c>
      <x:c r="K92" s="12"/>
      <x:c r="L92" s="12"/>
      <x:c r="M92" s="12"/>
      <x:c r="N92" s="12"/>
    </x:row>
    <x:row r="93">
      <x:c r="A93" s="12"/>
      <x:c r="B93" s="12"/>
      <x:c r="C93" s="12"/>
      <x:c r="D93" s="12"/>
      <x:c r="E93" s="18"/>
      <x:c r="F93" s="12"/>
      <x:c r="G93" s="12"/>
      <x:c r="H93" s="18"/>
      <x:c r="I93" s="18"/>
      <x:c r="J93" s="18" t="str">
        <x:f>IFERROR(IF(OR(E93&lt;=0,I93=""),"",MAX(0,E93-H93)/I93),"")</x:f>
      </x:c>
      <x:c r="K93" s="12"/>
      <x:c r="L93" s="12"/>
      <x:c r="M93" s="12"/>
      <x:c r="N93" s="12"/>
    </x:row>
    <x:row r="94">
      <x:c r="A94" s="12"/>
      <x:c r="B94" s="12"/>
      <x:c r="C94" s="12"/>
      <x:c r="D94" s="12"/>
      <x:c r="E94" s="18"/>
      <x:c r="F94" s="12"/>
      <x:c r="G94" s="12"/>
      <x:c r="H94" s="18"/>
      <x:c r="I94" s="18"/>
      <x:c r="J94" s="18" t="str">
        <x:f>IFERROR(IF(OR(E94&lt;=0,I94=""),"",MAX(0,E94-H94)/I94),"")</x:f>
      </x:c>
      <x:c r="K94" s="12"/>
      <x:c r="L94" s="12"/>
      <x:c r="M94" s="12"/>
      <x:c r="N94" s="12"/>
    </x:row>
    <x:row r="95">
      <x:c r="A95" s="12"/>
      <x:c r="B95" s="12"/>
      <x:c r="C95" s="12"/>
      <x:c r="D95" s="12"/>
      <x:c r="E95" s="18"/>
      <x:c r="F95" s="12"/>
      <x:c r="G95" s="12"/>
      <x:c r="H95" s="18"/>
      <x:c r="I95" s="18"/>
      <x:c r="J95" s="18" t="str">
        <x:f>IFERROR(IF(OR(E95&lt;=0,I95=""),"",MAX(0,E95-H95)/I95),"")</x:f>
      </x:c>
      <x:c r="K95" s="12"/>
      <x:c r="L95" s="12"/>
      <x:c r="M95" s="12"/>
      <x:c r="N95" s="12"/>
    </x:row>
    <x:row r="96">
      <x:c r="A96" s="12"/>
      <x:c r="B96" s="12"/>
      <x:c r="C96" s="12"/>
      <x:c r="D96" s="12"/>
      <x:c r="E96" s="18"/>
      <x:c r="F96" s="12"/>
      <x:c r="G96" s="12"/>
      <x:c r="H96" s="18"/>
      <x:c r="I96" s="18"/>
      <x:c r="J96" s="18" t="str">
        <x:f>IFERROR(IF(OR(E96&lt;=0,I96=""),"",MAX(0,E96-H96)/I96),"")</x:f>
      </x:c>
      <x:c r="K96" s="12"/>
      <x:c r="L96" s="12"/>
      <x:c r="M96" s="12"/>
      <x:c r="N96" s="12"/>
    </x:row>
    <x:row r="97">
      <x:c r="A97" s="12"/>
      <x:c r="B97" s="12"/>
      <x:c r="C97" s="12"/>
      <x:c r="D97" s="12"/>
      <x:c r="E97" s="18"/>
      <x:c r="F97" s="12"/>
      <x:c r="G97" s="12"/>
      <x:c r="H97" s="18"/>
      <x:c r="I97" s="18"/>
      <x:c r="J97" s="18" t="str">
        <x:f>IFERROR(IF(OR(E97&lt;=0,I97=""),"",MAX(0,E97-H97)/I97),"")</x:f>
      </x:c>
      <x:c r="K97" s="12"/>
      <x:c r="L97" s="12"/>
      <x:c r="M97" s="12"/>
      <x:c r="N97" s="12"/>
    </x:row>
    <x:row r="98">
      <x:c r="A98" s="12"/>
      <x:c r="B98" s="12"/>
      <x:c r="C98" s="12"/>
      <x:c r="D98" s="12"/>
      <x:c r="E98" s="18"/>
      <x:c r="F98" s="12"/>
      <x:c r="G98" s="12"/>
      <x:c r="H98" s="18"/>
      <x:c r="I98" s="18"/>
      <x:c r="J98" s="18" t="str">
        <x:f>IFERROR(IF(OR(E98&lt;=0,I98=""),"",MAX(0,E98-H98)/I98),"")</x:f>
      </x:c>
      <x:c r="K98" s="12"/>
      <x:c r="L98" s="12"/>
      <x:c r="M98" s="12"/>
      <x:c r="N98" s="12"/>
    </x:row>
    <x:row r="99">
      <x:c r="A99" s="12"/>
      <x:c r="B99" s="12"/>
      <x:c r="C99" s="12"/>
      <x:c r="D99" s="12"/>
      <x:c r="E99" s="18"/>
      <x:c r="F99" s="12"/>
      <x:c r="G99" s="12"/>
      <x:c r="H99" s="18"/>
      <x:c r="I99" s="18"/>
      <x:c r="J99" s="18" t="str">
        <x:f>IFERROR(IF(OR(E99&lt;=0,I99=""),"",MAX(0,E99-H99)/I99),"")</x:f>
      </x:c>
      <x:c r="K99" s="12"/>
      <x:c r="L99" s="12"/>
      <x:c r="M99" s="12"/>
      <x:c r="N99" s="12"/>
    </x:row>
    <x:row r="100">
      <x:c r="A100" s="12"/>
      <x:c r="B100" s="12"/>
      <x:c r="C100" s="12"/>
      <x:c r="D100" s="12"/>
      <x:c r="E100" s="18"/>
      <x:c r="F100" s="12"/>
      <x:c r="G100" s="12"/>
      <x:c r="H100" s="18"/>
      <x:c r="I100" s="18"/>
      <x:c r="J100" s="18" t="str">
        <x:f>IFERROR(IF(OR(E100&lt;=0,I100=""),"",MAX(0,E100-H100)/I100),"")</x:f>
      </x:c>
      <x:c r="K100" s="12"/>
      <x:c r="L100" s="12"/>
      <x:c r="M100" s="12"/>
      <x:c r="N100" s="12"/>
    </x:row>
    <x:row r="101">
      <x:c r="A101" s="12"/>
      <x:c r="B101" s="12"/>
      <x:c r="C101" s="12"/>
      <x:c r="D101" s="12"/>
      <x:c r="E101" s="18"/>
      <x:c r="F101" s="12"/>
      <x:c r="G101" s="12"/>
      <x:c r="H101" s="18"/>
      <x:c r="I101" s="18"/>
      <x:c r="J101" s="18" t="str">
        <x:f>IFERROR(IF(OR(E101&lt;=0,I101=""),"",MAX(0,E101-H101)/I101),"")</x:f>
      </x:c>
      <x:c r="K101" s="12"/>
      <x:c r="L101" s="12"/>
      <x:c r="M101" s="12"/>
      <x:c r="N101" s="12"/>
    </x:row>
    <x:row r="102">
      <x:c r="A102" s="12"/>
      <x:c r="B102" s="12"/>
      <x:c r="C102" s="12"/>
      <x:c r="D102" s="12"/>
      <x:c r="E102" s="18"/>
      <x:c r="F102" s="12"/>
      <x:c r="G102" s="12"/>
      <x:c r="H102" s="18"/>
      <x:c r="I102" s="18"/>
      <x:c r="J102" s="18" t="str">
        <x:f>IFERROR(IF(OR(E102&lt;=0,I102=""),"",MAX(0,E102-H102)/I102),"")</x:f>
      </x:c>
      <x:c r="K102" s="12"/>
      <x:c r="L102" s="12"/>
      <x:c r="M102" s="12"/>
      <x:c r="N102" s="12"/>
    </x:row>
    <x:row r="103">
      <x:c r="A103" s="12"/>
      <x:c r="B103" s="12"/>
      <x:c r="C103" s="12"/>
      <x:c r="D103" s="12"/>
      <x:c r="E103" s="18"/>
      <x:c r="F103" s="12"/>
      <x:c r="G103" s="12"/>
      <x:c r="H103" s="18"/>
      <x:c r="I103" s="18"/>
      <x:c r="J103" s="18" t="str">
        <x:f>IFERROR(IF(OR(E103&lt;=0,I103=""),"",MAX(0,E103-H103)/I103),"")</x:f>
      </x:c>
      <x:c r="K103" s="12"/>
      <x:c r="L103" s="12"/>
      <x:c r="M103" s="12"/>
      <x:c r="N103" s="12"/>
    </x:row>
    <x:row r="104">
      <x:c r="A104" s="12"/>
      <x:c r="B104" s="12"/>
      <x:c r="C104" s="12"/>
      <x:c r="D104" s="12"/>
      <x:c r="E104" s="18"/>
      <x:c r="F104" s="12"/>
      <x:c r="G104" s="12"/>
      <x:c r="H104" s="18"/>
      <x:c r="I104" s="18"/>
      <x:c r="J104" s="18" t="str">
        <x:f>IFERROR(IF(OR(E104&lt;=0,I104=""),"",MAX(0,E104-H104)/I104),"")</x:f>
      </x:c>
      <x:c r="K104" s="12"/>
      <x:c r="L104" s="12"/>
      <x:c r="M104" s="12"/>
      <x:c r="N104" s="12"/>
    </x:row>
    <x:row r="105">
      <x:c r="A105" s="12"/>
      <x:c r="B105" s="12"/>
      <x:c r="C105" s="12"/>
      <x:c r="D105" s="12"/>
      <x:c r="E105" s="18"/>
      <x:c r="F105" s="12"/>
      <x:c r="G105" s="12"/>
      <x:c r="H105" s="18"/>
      <x:c r="I105" s="18"/>
      <x:c r="J105" s="18" t="str">
        <x:f>IFERROR(IF(OR(E105&lt;=0,I105=""),"",MAX(0,E105-H105)/I105),"")</x:f>
      </x:c>
      <x:c r="K105" s="12"/>
      <x:c r="L105" s="12"/>
      <x:c r="M105" s="12"/>
      <x:c r="N105" s="12"/>
    </x:row>
    <x:row r="106">
      <x:c r="A106" s="12"/>
      <x:c r="B106" s="12"/>
      <x:c r="C106" s="12"/>
      <x:c r="D106" s="12"/>
      <x:c r="E106" s="18"/>
      <x:c r="F106" s="12"/>
      <x:c r="G106" s="12"/>
      <x:c r="H106" s="18"/>
      <x:c r="I106" s="18"/>
      <x:c r="J106" s="18" t="str">
        <x:f>IFERROR(IF(OR(E106&lt;=0,I106=""),"",MAX(0,E106-H106)/I106),"")</x:f>
      </x:c>
      <x:c r="K106" s="12"/>
      <x:c r="L106" s="12"/>
      <x:c r="M106" s="12"/>
      <x:c r="N106" s="12"/>
    </x:row>
    <x:row r="107">
      <x:c r="A107" s="12"/>
      <x:c r="B107" s="12"/>
      <x:c r="C107" s="12"/>
      <x:c r="D107" s="12"/>
      <x:c r="E107" s="18"/>
      <x:c r="F107" s="12"/>
      <x:c r="G107" s="12"/>
      <x:c r="H107" s="18"/>
      <x:c r="I107" s="18"/>
      <x:c r="J107" s="18" t="str">
        <x:f>IFERROR(IF(OR(E107&lt;=0,I107=""),"",MAX(0,E107-H107)/I107),"")</x:f>
      </x:c>
      <x:c r="K107" s="12"/>
      <x:c r="L107" s="12"/>
      <x:c r="M107" s="12"/>
      <x:c r="N107" s="12"/>
    </x:row>
    <x:row r="108">
      <x:c r="A108" s="12"/>
      <x:c r="B108" s="12"/>
      <x:c r="C108" s="12"/>
      <x:c r="D108" s="12"/>
      <x:c r="E108" s="18"/>
      <x:c r="F108" s="12"/>
      <x:c r="G108" s="12"/>
      <x:c r="H108" s="18"/>
      <x:c r="I108" s="18"/>
      <x:c r="J108" s="18" t="str">
        <x:f>IFERROR(IF(OR(E108&lt;=0,I108=""),"",MAX(0,E108-H108)/I108),"")</x:f>
      </x:c>
      <x:c r="K108" s="12"/>
      <x:c r="L108" s="12"/>
      <x:c r="M108" s="12"/>
      <x:c r="N108" s="12"/>
    </x:row>
    <x:row r="109">
      <x:c r="A109" s="12"/>
      <x:c r="B109" s="12"/>
      <x:c r="C109" s="12"/>
      <x:c r="D109" s="12"/>
      <x:c r="E109" s="18"/>
      <x:c r="F109" s="12"/>
      <x:c r="G109" s="12"/>
      <x:c r="H109" s="18"/>
      <x:c r="I109" s="18"/>
      <x:c r="J109" s="18" t="str">
        <x:f>IFERROR(IF(OR(E109&lt;=0,I109=""),"",MAX(0,E109-H109)/I109),"")</x:f>
      </x:c>
      <x:c r="K109" s="12"/>
      <x:c r="L109" s="12"/>
      <x:c r="M109" s="12"/>
      <x:c r="N109" s="12"/>
    </x:row>
    <x:row r="110">
      <x:c r="A110" s="12"/>
      <x:c r="B110" s="12"/>
      <x:c r="C110" s="12"/>
      <x:c r="D110" s="12"/>
      <x:c r="E110" s="18"/>
      <x:c r="F110" s="12"/>
      <x:c r="G110" s="12"/>
      <x:c r="H110" s="18"/>
      <x:c r="I110" s="18"/>
      <x:c r="J110" s="18" t="str">
        <x:f>IFERROR(IF(OR(E110&lt;=0,I110=""),"",MAX(0,E110-H110)/I110),"")</x:f>
      </x:c>
      <x:c r="K110" s="12"/>
      <x:c r="L110" s="12"/>
      <x:c r="M110" s="12"/>
      <x:c r="N110" s="12"/>
    </x:row>
    <x:row r="111">
      <x:c r="A111" s="12"/>
      <x:c r="B111" s="12"/>
      <x:c r="C111" s="12"/>
      <x:c r="D111" s="12"/>
      <x:c r="E111" s="18"/>
      <x:c r="F111" s="12"/>
      <x:c r="G111" s="12"/>
      <x:c r="H111" s="18"/>
      <x:c r="I111" s="18"/>
      <x:c r="J111" s="18" t="str">
        <x:f>IFERROR(IF(OR(E111&lt;=0,I111=""),"",MAX(0,E111-H111)/I111),"")</x:f>
      </x:c>
      <x:c r="K111" s="12"/>
      <x:c r="L111" s="12"/>
      <x:c r="M111" s="12"/>
      <x:c r="N111" s="12"/>
    </x:row>
    <x:row r="112">
      <x:c r="A112" s="12"/>
      <x:c r="B112" s="12"/>
      <x:c r="C112" s="12"/>
      <x:c r="D112" s="12"/>
      <x:c r="E112" s="18"/>
      <x:c r="F112" s="12"/>
      <x:c r="G112" s="12"/>
      <x:c r="H112" s="18"/>
      <x:c r="I112" s="18"/>
      <x:c r="J112" s="18" t="str">
        <x:f>IFERROR(IF(OR(E112&lt;=0,I112=""),"",MAX(0,E112-H112)/I112),"")</x:f>
      </x:c>
      <x:c r="K112" s="12"/>
      <x:c r="L112" s="12"/>
      <x:c r="M112" s="12"/>
      <x:c r="N112" s="12"/>
    </x:row>
    <x:row r="113">
      <x:c r="A113" s="12"/>
      <x:c r="B113" s="12"/>
      <x:c r="C113" s="12"/>
      <x:c r="D113" s="12"/>
      <x:c r="E113" s="18"/>
      <x:c r="F113" s="12"/>
      <x:c r="G113" s="12"/>
      <x:c r="H113" s="18"/>
      <x:c r="I113" s="18"/>
      <x:c r="J113" s="18" t="str">
        <x:f>IFERROR(IF(OR(E113&lt;=0,I113=""),"",MAX(0,E113-H113)/I113),"")</x:f>
      </x:c>
      <x:c r="K113" s="12"/>
      <x:c r="L113" s="12"/>
      <x:c r="M113" s="12"/>
      <x:c r="N113" s="12"/>
    </x:row>
    <x:row r="114">
      <x:c r="A114" s="12"/>
      <x:c r="B114" s="12"/>
      <x:c r="C114" s="12"/>
      <x:c r="D114" s="12"/>
      <x:c r="E114" s="18"/>
      <x:c r="F114" s="12"/>
      <x:c r="G114" s="12"/>
      <x:c r="H114" s="18"/>
      <x:c r="I114" s="18"/>
      <x:c r="J114" s="18" t="str">
        <x:f>IFERROR(IF(OR(E114&lt;=0,I114=""),"",MAX(0,E114-H114)/I114),"")</x:f>
      </x:c>
      <x:c r="K114" s="12"/>
      <x:c r="L114" s="12"/>
      <x:c r="M114" s="12"/>
      <x:c r="N114" s="12"/>
    </x:row>
    <x:row r="115">
      <x:c r="A115" s="12"/>
      <x:c r="B115" s="12"/>
      <x:c r="C115" s="12"/>
      <x:c r="D115" s="12"/>
      <x:c r="E115" s="18"/>
      <x:c r="F115" s="12"/>
      <x:c r="G115" s="12"/>
      <x:c r="H115" s="18"/>
      <x:c r="I115" s="18"/>
      <x:c r="J115" s="18" t="str">
        <x:f>IFERROR(IF(OR(E115&lt;=0,I115=""),"",MAX(0,E115-H115)/I115),"")</x:f>
      </x:c>
      <x:c r="K115" s="12"/>
      <x:c r="L115" s="12"/>
      <x:c r="M115" s="12"/>
      <x:c r="N115" s="12"/>
    </x:row>
    <x:row r="116">
      <x:c r="A116" s="12"/>
      <x:c r="B116" s="12"/>
      <x:c r="C116" s="12"/>
      <x:c r="D116" s="12"/>
      <x:c r="E116" s="18"/>
      <x:c r="F116" s="12"/>
      <x:c r="G116" s="12"/>
      <x:c r="H116" s="18"/>
      <x:c r="I116" s="18"/>
      <x:c r="J116" s="18" t="str">
        <x:f>IFERROR(IF(OR(E116&lt;=0,I116=""),"",MAX(0,E116-H116)/I116),"")</x:f>
      </x:c>
      <x:c r="K116" s="12"/>
      <x:c r="L116" s="12"/>
      <x:c r="M116" s="12"/>
      <x:c r="N116" s="12"/>
    </x:row>
    <x:row r="117">
      <x:c r="A117" s="12"/>
      <x:c r="B117" s="12"/>
      <x:c r="C117" s="12"/>
      <x:c r="D117" s="12"/>
      <x:c r="E117" s="18"/>
      <x:c r="F117" s="12"/>
      <x:c r="G117" s="12"/>
      <x:c r="H117" s="18"/>
      <x:c r="I117" s="18"/>
      <x:c r="J117" s="18" t="str">
        <x:f>IFERROR(IF(OR(E117&lt;=0,I117=""),"",MAX(0,E117-H117)/I117),"")</x:f>
      </x:c>
      <x:c r="K117" s="12"/>
      <x:c r="L117" s="12"/>
      <x:c r="M117" s="12"/>
      <x:c r="N117" s="12"/>
    </x:row>
    <x:row r="118">
      <x:c r="A118" s="12"/>
      <x:c r="B118" s="12"/>
      <x:c r="C118" s="12"/>
      <x:c r="D118" s="12"/>
      <x:c r="E118" s="18"/>
      <x:c r="F118" s="12"/>
      <x:c r="G118" s="12"/>
      <x:c r="H118" s="18"/>
      <x:c r="I118" s="18"/>
      <x:c r="J118" s="18" t="str">
        <x:f>IFERROR(IF(OR(E118&lt;=0,I118=""),"",MAX(0,E118-H118)/I118),"")</x:f>
      </x:c>
      <x:c r="K118" s="12"/>
      <x:c r="L118" s="12"/>
      <x:c r="M118" s="12"/>
      <x:c r="N118" s="12"/>
    </x:row>
    <x:row r="119">
      <x:c r="A119" s="12"/>
      <x:c r="B119" s="12"/>
      <x:c r="C119" s="12"/>
      <x:c r="D119" s="12"/>
      <x:c r="E119" s="18"/>
      <x:c r="F119" s="12"/>
      <x:c r="G119" s="12"/>
      <x:c r="H119" s="18"/>
      <x:c r="I119" s="18"/>
      <x:c r="J119" s="18" t="str">
        <x:f>IFERROR(IF(OR(E119&lt;=0,I119=""),"",MAX(0,E119-H119)/I119),"")</x:f>
      </x:c>
      <x:c r="K119" s="12"/>
      <x:c r="L119" s="12"/>
      <x:c r="M119" s="12"/>
      <x:c r="N119" s="12"/>
    </x:row>
    <x:row r="120">
      <x:c r="A120" s="12"/>
      <x:c r="B120" s="12"/>
      <x:c r="C120" s="12"/>
      <x:c r="D120" s="12"/>
      <x:c r="E120" s="18"/>
      <x:c r="F120" s="12"/>
      <x:c r="G120" s="12"/>
      <x:c r="H120" s="18"/>
      <x:c r="I120" s="18"/>
      <x:c r="J120" s="18" t="str">
        <x:f>IFERROR(IF(OR(E120&lt;=0,I120=""),"",MAX(0,E120-H120)/I120),"")</x:f>
      </x:c>
      <x:c r="K120" s="12"/>
      <x:c r="L120" s="12"/>
      <x:c r="M120" s="12"/>
      <x:c r="N120" s="12"/>
    </x:row>
    <x:row r="121">
      <x:c r="A121" s="12"/>
      <x:c r="B121" s="12"/>
      <x:c r="C121" s="12"/>
      <x:c r="D121" s="12"/>
      <x:c r="E121" s="18"/>
      <x:c r="F121" s="12"/>
      <x:c r="G121" s="12"/>
      <x:c r="H121" s="18"/>
      <x:c r="I121" s="18"/>
      <x:c r="J121" s="18" t="str">
        <x:f>IFERROR(IF(OR(E121&lt;=0,I121=""),"",MAX(0,E121-H121)/I121),"")</x:f>
      </x:c>
      <x:c r="K121" s="12"/>
      <x:c r="L121" s="12"/>
      <x:c r="M121" s="12"/>
      <x:c r="N121" s="12"/>
    </x:row>
    <x:row r="122">
      <x:c r="A122" s="12"/>
      <x:c r="B122" s="12"/>
      <x:c r="C122" s="12"/>
      <x:c r="D122" s="12"/>
      <x:c r="E122" s="18"/>
      <x:c r="F122" s="12"/>
      <x:c r="G122" s="12"/>
      <x:c r="H122" s="18"/>
      <x:c r="I122" s="18"/>
      <x:c r="J122" s="18" t="str">
        <x:f>IFERROR(IF(OR(E122&lt;=0,I122=""),"",MAX(0,E122-H122)/I122),"")</x:f>
      </x:c>
      <x:c r="K122" s="12"/>
      <x:c r="L122" s="12"/>
      <x:c r="M122" s="12"/>
      <x:c r="N122" s="12"/>
    </x:row>
    <x:row r="123">
      <x:c r="A123" s="12"/>
      <x:c r="B123" s="12"/>
      <x:c r="C123" s="12"/>
      <x:c r="D123" s="12"/>
      <x:c r="E123" s="18"/>
      <x:c r="F123" s="12"/>
      <x:c r="G123" s="12"/>
      <x:c r="H123" s="18"/>
      <x:c r="I123" s="18"/>
      <x:c r="J123" s="18" t="str">
        <x:f>IFERROR(IF(OR(E123&lt;=0,I123=""),"",MAX(0,E123-H123)/I123),"")</x:f>
      </x:c>
      <x:c r="K123" s="12"/>
      <x:c r="L123" s="12"/>
      <x:c r="M123" s="12"/>
      <x:c r="N123" s="12"/>
    </x:row>
    <x:row r="124">
      <x:c r="A124" s="12"/>
      <x:c r="B124" s="12"/>
      <x:c r="C124" s="12"/>
      <x:c r="D124" s="12"/>
      <x:c r="E124" s="18"/>
      <x:c r="F124" s="12"/>
      <x:c r="G124" s="12"/>
      <x:c r="H124" s="18"/>
      <x:c r="I124" s="18"/>
      <x:c r="J124" s="18" t="str">
        <x:f>IFERROR(IF(OR(E124&lt;=0,I124=""),"",MAX(0,E124-H124)/I124),"")</x:f>
      </x:c>
      <x:c r="K124" s="12"/>
      <x:c r="L124" s="12"/>
      <x:c r="M124" s="12"/>
      <x:c r="N124" s="12"/>
    </x:row>
    <x:row r="125">
      <x:c r="A125" s="12"/>
      <x:c r="B125" s="12"/>
      <x:c r="C125" s="12"/>
      <x:c r="D125" s="12"/>
      <x:c r="E125" s="18"/>
      <x:c r="F125" s="12"/>
      <x:c r="G125" s="12"/>
      <x:c r="H125" s="18"/>
      <x:c r="I125" s="18"/>
      <x:c r="J125" s="18" t="str">
        <x:f>IFERROR(IF(OR(E125&lt;=0,I125=""),"",MAX(0,E125-H125)/I125),"")</x:f>
      </x:c>
      <x:c r="K125" s="12"/>
      <x:c r="L125" s="12"/>
      <x:c r="M125" s="12"/>
      <x:c r="N125" s="12"/>
    </x:row>
    <x:row r="126">
      <x:c r="A126" s="12"/>
      <x:c r="B126" s="12"/>
      <x:c r="C126" s="12"/>
      <x:c r="D126" s="12"/>
      <x:c r="E126" s="18"/>
      <x:c r="F126" s="12"/>
      <x:c r="G126" s="12"/>
      <x:c r="H126" s="18"/>
      <x:c r="I126" s="18"/>
      <x:c r="J126" s="18" t="str">
        <x:f>IFERROR(IF(OR(E126&lt;=0,I126=""),"",MAX(0,E126-H126)/I126),"")</x:f>
      </x:c>
      <x:c r="K126" s="12"/>
      <x:c r="L126" s="12"/>
      <x:c r="M126" s="12"/>
      <x:c r="N126" s="12"/>
    </x:row>
    <x:row r="127">
      <x:c r="A127" s="12"/>
      <x:c r="B127" s="12"/>
      <x:c r="C127" s="12"/>
      <x:c r="D127" s="12"/>
      <x:c r="E127" s="18"/>
      <x:c r="F127" s="12"/>
      <x:c r="G127" s="12"/>
      <x:c r="H127" s="18"/>
      <x:c r="I127" s="18"/>
      <x:c r="J127" s="18" t="str">
        <x:f>IFERROR(IF(OR(E127&lt;=0,I127=""),"",MAX(0,E127-H127)/I127),"")</x:f>
      </x:c>
      <x:c r="K127" s="12"/>
      <x:c r="L127" s="12"/>
      <x:c r="M127" s="12"/>
      <x:c r="N127" s="12"/>
    </x:row>
    <x:row r="128">
      <x:c r="A128" s="12"/>
      <x:c r="B128" s="12"/>
      <x:c r="C128" s="12"/>
      <x:c r="D128" s="12"/>
      <x:c r="E128" s="18"/>
      <x:c r="F128" s="12"/>
      <x:c r="G128" s="12"/>
      <x:c r="H128" s="18"/>
      <x:c r="I128" s="18"/>
      <x:c r="J128" s="18" t="str">
        <x:f>IFERROR(IF(OR(E128&lt;=0,I128=""),"",MAX(0,E128-H128)/I128),"")</x:f>
      </x:c>
      <x:c r="K128" s="12"/>
      <x:c r="L128" s="12"/>
      <x:c r="M128" s="12"/>
      <x:c r="N128" s="12"/>
    </x:row>
    <x:row r="129">
      <x:c r="A129" s="12"/>
      <x:c r="B129" s="12"/>
      <x:c r="C129" s="12"/>
      <x:c r="D129" s="12"/>
      <x:c r="E129" s="18"/>
      <x:c r="F129" s="12"/>
      <x:c r="G129" s="12"/>
      <x:c r="H129" s="18"/>
      <x:c r="I129" s="18"/>
      <x:c r="J129" s="18" t="str">
        <x:f>IFERROR(IF(OR(E129&lt;=0,I129=""),"",MAX(0,E129-H129)/I129),"")</x:f>
      </x:c>
      <x:c r="K129" s="12"/>
      <x:c r="L129" s="12"/>
      <x:c r="M129" s="12"/>
      <x:c r="N129" s="12"/>
    </x:row>
    <x:row r="130">
      <x:c r="A130" s="12"/>
      <x:c r="B130" s="12"/>
      <x:c r="C130" s="12"/>
      <x:c r="D130" s="12"/>
      <x:c r="E130" s="18"/>
      <x:c r="F130" s="12"/>
      <x:c r="G130" s="12"/>
      <x:c r="H130" s="18"/>
      <x:c r="I130" s="18"/>
      <x:c r="J130" s="18" t="str">
        <x:f>IFERROR(IF(OR(E130&lt;=0,I130=""),"",MAX(0,E130-H130)/I130),"")</x:f>
      </x:c>
      <x:c r="K130" s="12"/>
      <x:c r="L130" s="12"/>
      <x:c r="M130" s="12"/>
      <x:c r="N130" s="12"/>
    </x:row>
    <x:row r="131">
      <x:c r="A131" s="12"/>
      <x:c r="B131" s="12"/>
      <x:c r="C131" s="12"/>
      <x:c r="D131" s="12"/>
      <x:c r="E131" s="18"/>
      <x:c r="F131" s="12"/>
      <x:c r="G131" s="12"/>
      <x:c r="H131" s="18"/>
      <x:c r="I131" s="18"/>
      <x:c r="J131" s="18" t="str">
        <x:f>IFERROR(IF(OR(E131&lt;=0,I131=""),"",MAX(0,E131-H131)/I131),"")</x:f>
      </x:c>
      <x:c r="K131" s="12"/>
      <x:c r="L131" s="12"/>
      <x:c r="M131" s="12"/>
      <x:c r="N131" s="12"/>
    </x:row>
    <x:row r="132">
      <x:c r="A132" s="12"/>
      <x:c r="B132" s="12"/>
      <x:c r="C132" s="12"/>
      <x:c r="D132" s="12"/>
      <x:c r="E132" s="18"/>
      <x:c r="F132" s="12"/>
      <x:c r="G132" s="12"/>
      <x:c r="H132" s="18"/>
      <x:c r="I132" s="18"/>
      <x:c r="J132" s="18" t="str">
        <x:f>IFERROR(IF(OR(E132&lt;=0,I132=""),"",MAX(0,E132-H132)/I132),"")</x:f>
      </x:c>
      <x:c r="K132" s="12"/>
      <x:c r="L132" s="12"/>
      <x:c r="M132" s="12"/>
      <x:c r="N132" s="12"/>
    </x:row>
    <x:row r="133">
      <x:c r="A133" s="12"/>
      <x:c r="B133" s="12"/>
      <x:c r="C133" s="12"/>
      <x:c r="D133" s="12"/>
      <x:c r="E133" s="18"/>
      <x:c r="F133" s="12"/>
      <x:c r="G133" s="12"/>
      <x:c r="H133" s="18"/>
      <x:c r="I133" s="18"/>
      <x:c r="J133" s="18" t="str">
        <x:f>IFERROR(IF(OR(E133&lt;=0,I133=""),"",MAX(0,E133-H133)/I133),"")</x:f>
      </x:c>
      <x:c r="K133" s="12"/>
      <x:c r="L133" s="12"/>
      <x:c r="M133" s="12"/>
      <x:c r="N133" s="12"/>
    </x:row>
    <x:row r="134">
      <x:c r="A134" s="12"/>
      <x:c r="B134" s="12"/>
      <x:c r="C134" s="12"/>
      <x:c r="D134" s="12"/>
      <x:c r="E134" s="18"/>
      <x:c r="F134" s="12"/>
      <x:c r="G134" s="12"/>
      <x:c r="H134" s="18"/>
      <x:c r="I134" s="18"/>
      <x:c r="J134" s="18" t="str">
        <x:f>IFERROR(IF(OR(E134&lt;=0,I134=""),"",MAX(0,E134-H134)/I134),"")</x:f>
      </x:c>
      <x:c r="K134" s="12"/>
      <x:c r="L134" s="12"/>
      <x:c r="M134" s="12"/>
      <x:c r="N134" s="12"/>
    </x:row>
    <x:row r="135">
      <x:c r="A135" s="12"/>
      <x:c r="B135" s="12"/>
      <x:c r="C135" s="12"/>
      <x:c r="D135" s="12"/>
      <x:c r="E135" s="18"/>
      <x:c r="F135" s="12"/>
      <x:c r="G135" s="12"/>
      <x:c r="H135" s="18"/>
      <x:c r="I135" s="18"/>
      <x:c r="J135" s="18" t="str">
        <x:f>IFERROR(IF(OR(E135&lt;=0,I135=""),"",MAX(0,E135-H135)/I135),"")</x:f>
      </x:c>
      <x:c r="K135" s="12"/>
      <x:c r="L135" s="12"/>
      <x:c r="M135" s="12"/>
      <x:c r="N135" s="12"/>
    </x:row>
    <x:row r="136">
      <x:c r="A136" s="12"/>
      <x:c r="B136" s="12"/>
      <x:c r="C136" s="12"/>
      <x:c r="D136" s="12"/>
      <x:c r="E136" s="18"/>
      <x:c r="F136" s="12"/>
      <x:c r="G136" s="12"/>
      <x:c r="H136" s="18"/>
      <x:c r="I136" s="18"/>
      <x:c r="J136" s="18" t="str">
        <x:f>IFERROR(IF(OR(E136&lt;=0,I136=""),"",MAX(0,E136-H136)/I136),"")</x:f>
      </x:c>
      <x:c r="K136" s="12"/>
      <x:c r="L136" s="12"/>
      <x:c r="M136" s="12"/>
      <x:c r="N136" s="12"/>
    </x:row>
    <x:row r="137">
      <x:c r="A137" s="12"/>
      <x:c r="B137" s="12"/>
      <x:c r="C137" s="12"/>
      <x:c r="D137" s="12"/>
      <x:c r="E137" s="18"/>
      <x:c r="F137" s="12"/>
      <x:c r="G137" s="12"/>
      <x:c r="H137" s="18"/>
      <x:c r="I137" s="18"/>
      <x:c r="J137" s="18" t="str">
        <x:f>IFERROR(IF(OR(E137&lt;=0,I137=""),"",MAX(0,E137-H137)/I137),"")</x:f>
      </x:c>
      <x:c r="K137" s="12"/>
      <x:c r="L137" s="12"/>
      <x:c r="M137" s="12"/>
      <x:c r="N137" s="12"/>
    </x:row>
    <x:row r="138">
      <x:c r="A138" s="12"/>
      <x:c r="B138" s="12"/>
      <x:c r="C138" s="12"/>
      <x:c r="D138" s="12"/>
      <x:c r="E138" s="18"/>
      <x:c r="F138" s="12"/>
      <x:c r="G138" s="12"/>
      <x:c r="H138" s="18"/>
      <x:c r="I138" s="18"/>
      <x:c r="J138" s="18" t="str">
        <x:f>IFERROR(IF(OR(E138&lt;=0,I138=""),"",MAX(0,E138-H138)/I138),"")</x:f>
      </x:c>
      <x:c r="K138" s="12"/>
      <x:c r="L138" s="12"/>
      <x:c r="M138" s="12"/>
      <x:c r="N138" s="12"/>
    </x:row>
    <x:row r="139">
      <x:c r="A139" s="12"/>
      <x:c r="B139" s="12"/>
      <x:c r="C139" s="12"/>
      <x:c r="D139" s="12"/>
      <x:c r="E139" s="18"/>
      <x:c r="F139" s="12"/>
      <x:c r="G139" s="12"/>
      <x:c r="H139" s="18"/>
      <x:c r="I139" s="18"/>
      <x:c r="J139" s="18" t="str">
        <x:f>IFERROR(IF(OR(E139&lt;=0,I139=""),"",MAX(0,E139-H139)/I139),"")</x:f>
      </x:c>
      <x:c r="K139" s="12"/>
      <x:c r="L139" s="12"/>
      <x:c r="M139" s="12"/>
      <x:c r="N139" s="12"/>
    </x:row>
    <x:row r="140">
      <x:c r="A140" s="12"/>
      <x:c r="B140" s="12"/>
      <x:c r="C140" s="12"/>
      <x:c r="D140" s="12"/>
      <x:c r="E140" s="18"/>
      <x:c r="F140" s="12"/>
      <x:c r="G140" s="12"/>
      <x:c r="H140" s="18"/>
      <x:c r="I140" s="18"/>
      <x:c r="J140" s="18" t="str">
        <x:f>IFERROR(IF(OR(E140&lt;=0,I140=""),"",MAX(0,E140-H140)/I140),"")</x:f>
      </x:c>
      <x:c r="K140" s="12"/>
      <x:c r="L140" s="12"/>
      <x:c r="M140" s="12"/>
      <x:c r="N140" s="12"/>
    </x:row>
    <x:row r="141">
      <x:c r="A141" s="12"/>
      <x:c r="B141" s="12"/>
      <x:c r="C141" s="12"/>
      <x:c r="D141" s="12"/>
      <x:c r="E141" s="18"/>
      <x:c r="F141" s="12"/>
      <x:c r="G141" s="12"/>
      <x:c r="H141" s="18"/>
      <x:c r="I141" s="18"/>
      <x:c r="J141" s="18" t="str">
        <x:f>IFERROR(IF(OR(E141&lt;=0,I141=""),"",MAX(0,E141-H141)/I141),"")</x:f>
      </x:c>
      <x:c r="K141" s="12"/>
      <x:c r="L141" s="12"/>
      <x:c r="M141" s="12"/>
      <x:c r="N141" s="12"/>
    </x:row>
    <x:row r="142">
      <x:c r="A142" s="12"/>
      <x:c r="B142" s="12"/>
      <x:c r="C142" s="12"/>
      <x:c r="D142" s="12"/>
      <x:c r="E142" s="18"/>
      <x:c r="F142" s="12"/>
      <x:c r="G142" s="12"/>
      <x:c r="H142" s="18"/>
      <x:c r="I142" s="18"/>
      <x:c r="J142" s="18" t="str">
        <x:f>IFERROR(IF(OR(E142&lt;=0,I142=""),"",MAX(0,E142-H142)/I142),"")</x:f>
      </x:c>
      <x:c r="K142" s="12"/>
      <x:c r="L142" s="12"/>
      <x:c r="M142" s="12"/>
      <x:c r="N142" s="12"/>
    </x:row>
    <x:row r="143">
      <x:c r="A143" s="12"/>
      <x:c r="B143" s="12"/>
      <x:c r="C143" s="12"/>
      <x:c r="D143" s="12"/>
      <x:c r="E143" s="18"/>
      <x:c r="F143" s="12"/>
      <x:c r="G143" s="12"/>
      <x:c r="H143" s="18"/>
      <x:c r="I143" s="18"/>
      <x:c r="J143" s="18" t="str">
        <x:f>IFERROR(IF(OR(E143&lt;=0,I143=""),"",MAX(0,E143-H143)/I143),"")</x:f>
      </x:c>
      <x:c r="K143" s="12"/>
      <x:c r="L143" s="12"/>
      <x:c r="M143" s="12"/>
      <x:c r="N143" s="12"/>
    </x:row>
    <x:row r="144">
      <x:c r="A144" s="12"/>
      <x:c r="B144" s="12"/>
      <x:c r="C144" s="12"/>
      <x:c r="D144" s="12"/>
      <x:c r="E144" s="18"/>
      <x:c r="F144" s="12"/>
      <x:c r="G144" s="12"/>
      <x:c r="H144" s="18"/>
      <x:c r="I144" s="18"/>
      <x:c r="J144" s="18" t="str">
        <x:f>IFERROR(IF(OR(E144&lt;=0,I144=""),"",MAX(0,E144-H144)/I144),"")</x:f>
      </x:c>
      <x:c r="K144" s="12"/>
      <x:c r="L144" s="12"/>
      <x:c r="M144" s="12"/>
      <x:c r="N144" s="12"/>
    </x:row>
    <x:row r="145">
      <x:c r="A145" s="12"/>
      <x:c r="B145" s="12"/>
      <x:c r="C145" s="12"/>
      <x:c r="D145" s="12"/>
      <x:c r="E145" s="18"/>
      <x:c r="F145" s="12"/>
      <x:c r="G145" s="12"/>
      <x:c r="H145" s="18"/>
      <x:c r="I145" s="18"/>
      <x:c r="J145" s="18" t="str">
        <x:f>IFERROR(IF(OR(E145&lt;=0,I145=""),"",MAX(0,E145-H145)/I145),"")</x:f>
      </x:c>
      <x:c r="K145" s="12"/>
      <x:c r="L145" s="12"/>
      <x:c r="M145" s="12"/>
      <x:c r="N145" s="12"/>
    </x:row>
    <x:row r="146">
      <x:c r="A146" s="12"/>
      <x:c r="B146" s="12"/>
      <x:c r="C146" s="12"/>
      <x:c r="D146" s="12"/>
      <x:c r="E146" s="18"/>
      <x:c r="F146" s="12"/>
      <x:c r="G146" s="12"/>
      <x:c r="H146" s="18"/>
      <x:c r="I146" s="18"/>
      <x:c r="J146" s="18" t="str">
        <x:f>IFERROR(IF(OR(E146&lt;=0,I146=""),"",MAX(0,E146-H146)/I146),"")</x:f>
      </x:c>
      <x:c r="K146" s="12"/>
      <x:c r="L146" s="12"/>
      <x:c r="M146" s="12"/>
      <x:c r="N146" s="12"/>
    </x:row>
    <x:row r="147">
      <x:c r="A147" s="12"/>
      <x:c r="B147" s="12"/>
      <x:c r="C147" s="12"/>
      <x:c r="D147" s="12"/>
      <x:c r="E147" s="18"/>
      <x:c r="F147" s="12"/>
      <x:c r="G147" s="12"/>
      <x:c r="H147" s="18"/>
      <x:c r="I147" s="18"/>
      <x:c r="J147" s="18" t="str">
        <x:f>IFERROR(IF(OR(E147&lt;=0,I147=""),"",MAX(0,E147-H147)/I147),"")</x:f>
      </x:c>
      <x:c r="K147" s="12"/>
      <x:c r="L147" s="12"/>
      <x:c r="M147" s="12"/>
      <x:c r="N147" s="12"/>
    </x:row>
    <x:row r="148">
      <x:c r="A148" s="12"/>
      <x:c r="B148" s="12"/>
      <x:c r="C148" s="12"/>
      <x:c r="D148" s="12"/>
      <x:c r="E148" s="18"/>
      <x:c r="F148" s="12"/>
      <x:c r="G148" s="12"/>
      <x:c r="H148" s="18"/>
      <x:c r="I148" s="18"/>
      <x:c r="J148" s="18" t="str">
        <x:f>IFERROR(IF(OR(E148&lt;=0,I148=""),"",MAX(0,E148-H148)/I148),"")</x:f>
      </x:c>
      <x:c r="K148" s="12"/>
      <x:c r="L148" s="12"/>
      <x:c r="M148" s="12"/>
      <x:c r="N148" s="12"/>
    </x:row>
    <x:row r="149">
      <x:c r="A149" s="12"/>
      <x:c r="B149" s="12"/>
      <x:c r="C149" s="12"/>
      <x:c r="D149" s="12"/>
      <x:c r="E149" s="18"/>
      <x:c r="F149" s="12"/>
      <x:c r="G149" s="12"/>
      <x:c r="H149" s="18"/>
      <x:c r="I149" s="18"/>
      <x:c r="J149" s="18" t="str">
        <x:f>IFERROR(IF(OR(E149&lt;=0,I149=""),"",MAX(0,E149-H149)/I149),"")</x:f>
      </x:c>
      <x:c r="K149" s="12"/>
      <x:c r="L149" s="12"/>
      <x:c r="M149" s="12"/>
      <x:c r="N149" s="12"/>
    </x:row>
    <x:row r="150">
      <x:c r="A150" s="12"/>
      <x:c r="B150" s="12"/>
      <x:c r="C150" s="12"/>
      <x:c r="D150" s="12"/>
      <x:c r="E150" s="18"/>
      <x:c r="F150" s="12"/>
      <x:c r="G150" s="12"/>
      <x:c r="H150" s="18"/>
      <x:c r="I150" s="18"/>
      <x:c r="J150" s="18" t="str">
        <x:f>IFERROR(IF(OR(E150&lt;=0,I150=""),"",MAX(0,E150-H150)/I150),"")</x:f>
      </x:c>
      <x:c r="K150" s="12"/>
      <x:c r="L150" s="12"/>
      <x:c r="M150" s="12"/>
      <x:c r="N150" s="12"/>
    </x:row>
    <x:row r="151">
      <x:c r="A151" s="12"/>
      <x:c r="B151" s="12"/>
      <x:c r="C151" s="12"/>
      <x:c r="D151" s="12"/>
      <x:c r="E151" s="18"/>
      <x:c r="F151" s="12"/>
      <x:c r="G151" s="12"/>
      <x:c r="H151" s="18"/>
      <x:c r="I151" s="18"/>
      <x:c r="J151" s="18" t="str">
        <x:f>IFERROR(IF(OR(E151&lt;=0,I151=""),"",MAX(0,E151-H151)/I151),"")</x:f>
      </x:c>
      <x:c r="K151" s="12"/>
      <x:c r="L151" s="12"/>
      <x:c r="M151" s="12"/>
      <x:c r="N151" s="12"/>
    </x:row>
    <x:row r="152">
      <x:c r="A152" s="12"/>
      <x:c r="B152" s="12"/>
      <x:c r="C152" s="12"/>
      <x:c r="D152" s="12"/>
      <x:c r="E152" s="18"/>
      <x:c r="F152" s="12"/>
      <x:c r="G152" s="12"/>
      <x:c r="H152" s="18"/>
      <x:c r="I152" s="18"/>
      <x:c r="J152" s="18" t="str">
        <x:f>IFERROR(IF(OR(E152&lt;=0,I152=""),"",MAX(0,E152-H152)/I152),"")</x:f>
      </x:c>
      <x:c r="K152" s="12"/>
      <x:c r="L152" s="12"/>
      <x:c r="M152" s="12"/>
      <x:c r="N152" s="12"/>
    </x:row>
    <x:row r="153">
      <x:c r="A153" s="12"/>
      <x:c r="B153" s="12"/>
      <x:c r="C153" s="12"/>
      <x:c r="D153" s="12"/>
      <x:c r="E153" s="18"/>
      <x:c r="F153" s="12"/>
      <x:c r="G153" s="12"/>
      <x:c r="H153" s="18"/>
      <x:c r="I153" s="18"/>
      <x:c r="J153" s="18" t="str">
        <x:f>IFERROR(IF(OR(E153&lt;=0,I153=""),"",MAX(0,E153-H153)/I153),"")</x:f>
      </x:c>
      <x:c r="K153" s="12"/>
      <x:c r="L153" s="12"/>
      <x:c r="M153" s="12"/>
      <x:c r="N153" s="12"/>
    </x:row>
    <x:row r="154">
      <x:c r="A154" s="12"/>
      <x:c r="B154" s="12"/>
      <x:c r="C154" s="12"/>
      <x:c r="D154" s="12"/>
      <x:c r="E154" s="18"/>
      <x:c r="F154" s="12"/>
      <x:c r="G154" s="12"/>
      <x:c r="H154" s="18"/>
      <x:c r="I154" s="18"/>
      <x:c r="J154" s="18" t="str">
        <x:f>IFERROR(IF(OR(E154&lt;=0,I154=""),"",MAX(0,E154-H154)/I154),"")</x:f>
      </x:c>
      <x:c r="K154" s="12"/>
      <x:c r="L154" s="12"/>
      <x:c r="M154" s="12"/>
      <x:c r="N154" s="12"/>
    </x:row>
    <x:row r="155">
      <x:c r="A155" s="12"/>
      <x:c r="B155" s="12"/>
      <x:c r="C155" s="12"/>
      <x:c r="D155" s="12"/>
      <x:c r="E155" s="18"/>
      <x:c r="F155" s="12"/>
      <x:c r="G155" s="12"/>
      <x:c r="H155" s="18"/>
      <x:c r="I155" s="18"/>
      <x:c r="J155" s="18" t="str">
        <x:f>IFERROR(IF(OR(E155&lt;=0,I155=""),"",MAX(0,E155-H155)/I155),"")</x:f>
      </x:c>
      <x:c r="K155" s="12"/>
      <x:c r="L155" s="12"/>
      <x:c r="M155" s="12"/>
      <x:c r="N155" s="12"/>
    </x:row>
    <x:row r="156">
      <x:c r="A156" s="12"/>
      <x:c r="B156" s="12"/>
      <x:c r="C156" s="12"/>
      <x:c r="D156" s="12"/>
      <x:c r="E156" s="18"/>
      <x:c r="F156" s="12"/>
      <x:c r="G156" s="12"/>
      <x:c r="H156" s="18"/>
      <x:c r="I156" s="18"/>
      <x:c r="J156" s="18" t="str">
        <x:f>IFERROR(IF(OR(E156&lt;=0,I156=""),"",MAX(0,E156-H156)/I156),"")</x:f>
      </x:c>
      <x:c r="K156" s="12"/>
      <x:c r="L156" s="12"/>
      <x:c r="M156" s="12"/>
      <x:c r="N156" s="12"/>
    </x:row>
    <x:row r="157">
      <x:c r="A157" s="12"/>
      <x:c r="B157" s="12"/>
      <x:c r="C157" s="12"/>
      <x:c r="D157" s="12"/>
      <x:c r="E157" s="18"/>
      <x:c r="F157" s="12"/>
      <x:c r="G157" s="12"/>
      <x:c r="H157" s="18"/>
      <x:c r="I157" s="18"/>
      <x:c r="J157" s="18" t="str">
        <x:f>IFERROR(IF(OR(E157&lt;=0,I157=""),"",MAX(0,E157-H157)/I157),"")</x:f>
      </x:c>
      <x:c r="K157" s="12"/>
      <x:c r="L157" s="12"/>
      <x:c r="M157" s="12"/>
      <x:c r="N157" s="12"/>
    </x:row>
    <x:row r="158">
      <x:c r="A158" s="12"/>
      <x:c r="B158" s="12"/>
      <x:c r="C158" s="12"/>
      <x:c r="D158" s="12"/>
      <x:c r="E158" s="18"/>
      <x:c r="F158" s="12"/>
      <x:c r="G158" s="12"/>
      <x:c r="H158" s="18"/>
      <x:c r="I158" s="18"/>
      <x:c r="J158" s="18" t="str">
        <x:f>IFERROR(IF(OR(E158&lt;=0,I158=""),"",MAX(0,E158-H158)/I158),"")</x:f>
      </x:c>
      <x:c r="K158" s="12"/>
      <x:c r="L158" s="12"/>
      <x:c r="M158" s="12"/>
      <x:c r="N158" s="12"/>
    </x:row>
    <x:row r="159">
      <x:c r="A159" s="12"/>
      <x:c r="B159" s="12"/>
      <x:c r="C159" s="12"/>
      <x:c r="D159" s="12"/>
      <x:c r="E159" s="18"/>
      <x:c r="F159" s="12"/>
      <x:c r="G159" s="12"/>
      <x:c r="H159" s="18"/>
      <x:c r="I159" s="18"/>
      <x:c r="J159" s="18" t="str">
        <x:f>IFERROR(IF(OR(E159&lt;=0,I159=""),"",MAX(0,E159-H159)/I159),"")</x:f>
      </x:c>
      <x:c r="K159" s="12"/>
      <x:c r="L159" s="12"/>
      <x:c r="M159" s="12"/>
      <x:c r="N159" s="12"/>
    </x:row>
    <x:row r="160">
      <x:c r="A160" s="12"/>
      <x:c r="B160" s="12"/>
      <x:c r="C160" s="12"/>
      <x:c r="D160" s="12"/>
      <x:c r="E160" s="18"/>
      <x:c r="F160" s="12"/>
      <x:c r="G160" s="12"/>
      <x:c r="H160" s="18"/>
      <x:c r="I160" s="18"/>
      <x:c r="J160" s="18" t="str">
        <x:f>IFERROR(IF(OR(E160&lt;=0,I160=""),"",MAX(0,E160-H160)/I160),"")</x:f>
      </x:c>
      <x:c r="K160" s="12"/>
      <x:c r="L160" s="12"/>
      <x:c r="M160" s="12"/>
      <x:c r="N160" s="12"/>
    </x:row>
    <x:row r="161">
      <x:c r="A161" s="12"/>
      <x:c r="B161" s="12"/>
      <x:c r="C161" s="12"/>
      <x:c r="D161" s="12"/>
      <x:c r="E161" s="18"/>
      <x:c r="F161" s="12"/>
      <x:c r="G161" s="12"/>
      <x:c r="H161" s="18"/>
      <x:c r="I161" s="18"/>
      <x:c r="J161" s="18" t="str">
        <x:f>IFERROR(IF(OR(E161&lt;=0,I161=""),"",MAX(0,E161-H161)/I161),"")</x:f>
      </x:c>
      <x:c r="K161" s="12"/>
      <x:c r="L161" s="12"/>
      <x:c r="M161" s="12"/>
      <x:c r="N161" s="12"/>
    </x:row>
    <x:row r="162">
      <x:c r="A162" s="12"/>
      <x:c r="B162" s="12"/>
      <x:c r="C162" s="12"/>
      <x:c r="D162" s="12"/>
      <x:c r="E162" s="18"/>
      <x:c r="F162" s="12"/>
      <x:c r="G162" s="12"/>
      <x:c r="H162" s="18"/>
      <x:c r="I162" s="18"/>
      <x:c r="J162" s="18" t="str">
        <x:f>IFERROR(IF(OR(E162&lt;=0,I162=""),"",MAX(0,E162-H162)/I162),"")</x:f>
      </x:c>
      <x:c r="K162" s="12"/>
      <x:c r="L162" s="12"/>
      <x:c r="M162" s="12"/>
      <x:c r="N162" s="12"/>
    </x:row>
    <x:row r="163">
      <x:c r="A163" s="12"/>
      <x:c r="B163" s="12"/>
      <x:c r="C163" s="12"/>
      <x:c r="D163" s="12"/>
      <x:c r="E163" s="18"/>
      <x:c r="F163" s="12"/>
      <x:c r="G163" s="12"/>
      <x:c r="H163" s="18"/>
      <x:c r="I163" s="18"/>
      <x:c r="J163" s="18" t="str">
        <x:f>IFERROR(IF(OR(E163&lt;=0,I163=""),"",MAX(0,E163-H163)/I163),"")</x:f>
      </x:c>
      <x:c r="K163" s="12"/>
      <x:c r="L163" s="12"/>
      <x:c r="M163" s="12"/>
      <x:c r="N163" s="12"/>
    </x:row>
    <x:row r="164">
      <x:c r="A164" s="12"/>
      <x:c r="B164" s="12"/>
      <x:c r="C164" s="12"/>
      <x:c r="D164" s="12"/>
      <x:c r="E164" s="18"/>
      <x:c r="F164" s="12"/>
      <x:c r="G164" s="12"/>
      <x:c r="H164" s="18"/>
      <x:c r="I164" s="18"/>
      <x:c r="J164" s="18" t="str">
        <x:f>IFERROR(IF(OR(E164&lt;=0,I164=""),"",MAX(0,E164-H164)/I164),"")</x:f>
      </x:c>
      <x:c r="K164" s="12"/>
      <x:c r="L164" s="12"/>
      <x:c r="M164" s="12"/>
      <x:c r="N164" s="12"/>
    </x:row>
    <x:row r="165">
      <x:c r="A165" s="12"/>
      <x:c r="B165" s="12"/>
      <x:c r="C165" s="12"/>
      <x:c r="D165" s="12"/>
      <x:c r="E165" s="18"/>
      <x:c r="F165" s="12"/>
      <x:c r="G165" s="12"/>
      <x:c r="H165" s="18"/>
      <x:c r="I165" s="18"/>
      <x:c r="J165" s="18" t="str">
        <x:f>IFERROR(IF(OR(E165&lt;=0,I165=""),"",MAX(0,E165-H165)/I165),"")</x:f>
      </x:c>
      <x:c r="K165" s="12"/>
      <x:c r="L165" s="12"/>
      <x:c r="M165" s="12"/>
      <x:c r="N165" s="12"/>
    </x:row>
    <x:row r="166">
      <x:c r="A166" s="12"/>
      <x:c r="B166" s="12"/>
      <x:c r="C166" s="12"/>
      <x:c r="D166" s="12"/>
      <x:c r="E166" s="18"/>
      <x:c r="F166" s="12"/>
      <x:c r="G166" s="12"/>
      <x:c r="H166" s="18"/>
      <x:c r="I166" s="18"/>
      <x:c r="J166" s="18" t="str">
        <x:f>IFERROR(IF(OR(E166&lt;=0,I166=""),"",MAX(0,E166-H166)/I166),"")</x:f>
      </x:c>
      <x:c r="K166" s="12"/>
      <x:c r="L166" s="12"/>
      <x:c r="M166" s="12"/>
      <x:c r="N166" s="12"/>
    </x:row>
    <x:row r="167">
      <x:c r="A167" s="12"/>
      <x:c r="B167" s="12"/>
      <x:c r="C167" s="12"/>
      <x:c r="D167" s="12"/>
      <x:c r="E167" s="18"/>
      <x:c r="F167" s="12"/>
      <x:c r="G167" s="12"/>
      <x:c r="H167" s="18"/>
      <x:c r="I167" s="18"/>
      <x:c r="J167" s="18" t="str">
        <x:f>IFERROR(IF(OR(E167&lt;=0,I167=""),"",MAX(0,E167-H167)/I167),"")</x:f>
      </x:c>
      <x:c r="K167" s="12"/>
      <x:c r="L167" s="12"/>
      <x:c r="M167" s="12"/>
      <x:c r="N167" s="12"/>
    </x:row>
    <x:row r="168">
      <x:c r="A168" s="12"/>
      <x:c r="B168" s="12"/>
      <x:c r="C168" s="12"/>
      <x:c r="D168" s="12"/>
      <x:c r="E168" s="18"/>
      <x:c r="F168" s="12"/>
      <x:c r="G168" s="12"/>
      <x:c r="H168" s="18"/>
      <x:c r="I168" s="18"/>
      <x:c r="J168" s="18" t="str">
        <x:f>IFERROR(IF(OR(E168&lt;=0,I168=""),"",MAX(0,E168-H168)/I168),"")</x:f>
      </x:c>
      <x:c r="K168" s="12"/>
      <x:c r="L168" s="12"/>
      <x:c r="M168" s="12"/>
      <x:c r="N168" s="12"/>
    </x:row>
    <x:row r="169">
      <x:c r="A169" s="12"/>
      <x:c r="B169" s="12"/>
      <x:c r="C169" s="12"/>
      <x:c r="D169" s="12"/>
      <x:c r="E169" s="18"/>
      <x:c r="F169" s="12"/>
      <x:c r="G169" s="12"/>
      <x:c r="H169" s="18"/>
      <x:c r="I169" s="18"/>
      <x:c r="J169" s="18" t="str">
        <x:f>IFERROR(IF(OR(E169&lt;=0,I169=""),"",MAX(0,E169-H169)/I169),"")</x:f>
      </x:c>
      <x:c r="K169" s="12"/>
      <x:c r="L169" s="12"/>
      <x:c r="M169" s="12"/>
      <x:c r="N169" s="12"/>
    </x:row>
    <x:row r="170">
      <x:c r="A170" s="12"/>
      <x:c r="B170" s="12"/>
      <x:c r="C170" s="12"/>
      <x:c r="D170" s="12"/>
      <x:c r="E170" s="18"/>
      <x:c r="F170" s="12"/>
      <x:c r="G170" s="12"/>
      <x:c r="H170" s="18"/>
      <x:c r="I170" s="18"/>
      <x:c r="J170" s="18" t="str">
        <x:f>IFERROR(IF(OR(E170&lt;=0,I170=""),"",MAX(0,E170-H170)/I170),"")</x:f>
      </x:c>
      <x:c r="K170" s="12"/>
      <x:c r="L170" s="12"/>
      <x:c r="M170" s="12"/>
      <x:c r="N170" s="12"/>
    </x:row>
    <x:row r="171">
      <x:c r="A171" s="12"/>
      <x:c r="B171" s="12"/>
      <x:c r="C171" s="12"/>
      <x:c r="D171" s="12"/>
      <x:c r="E171" s="18"/>
      <x:c r="F171" s="12"/>
      <x:c r="G171" s="12"/>
      <x:c r="H171" s="18"/>
      <x:c r="I171" s="18"/>
      <x:c r="J171" s="18" t="str">
        <x:f>IFERROR(IF(OR(E171&lt;=0,I171=""),"",MAX(0,E171-H171)/I171),"")</x:f>
      </x:c>
      <x:c r="K171" s="12"/>
      <x:c r="L171" s="12"/>
      <x:c r="M171" s="12"/>
      <x:c r="N171" s="12"/>
    </x:row>
    <x:row r="172">
      <x:c r="A172" s="12"/>
      <x:c r="B172" s="12"/>
      <x:c r="C172" s="12"/>
      <x:c r="D172" s="12"/>
      <x:c r="E172" s="18"/>
      <x:c r="F172" s="12"/>
      <x:c r="G172" s="12"/>
      <x:c r="H172" s="18"/>
      <x:c r="I172" s="18"/>
      <x:c r="J172" s="18" t="str">
        <x:f>IFERROR(IF(OR(E172&lt;=0,I172=""),"",MAX(0,E172-H172)/I172),"")</x:f>
      </x:c>
      <x:c r="K172" s="12"/>
      <x:c r="L172" s="12"/>
      <x:c r="M172" s="12"/>
      <x:c r="N172" s="12"/>
    </x:row>
    <x:row r="173">
      <x:c r="A173" s="12"/>
      <x:c r="B173" s="12"/>
      <x:c r="C173" s="12"/>
      <x:c r="D173" s="12"/>
      <x:c r="E173" s="18"/>
      <x:c r="F173" s="12"/>
      <x:c r="G173" s="12"/>
      <x:c r="H173" s="18"/>
      <x:c r="I173" s="18"/>
      <x:c r="J173" s="18" t="str">
        <x:f>IFERROR(IF(OR(E173&lt;=0,I173=""),"",MAX(0,E173-H173)/I173),"")</x:f>
      </x:c>
      <x:c r="K173" s="12"/>
      <x:c r="L173" s="12"/>
      <x:c r="M173" s="12"/>
      <x:c r="N173" s="12"/>
    </x:row>
    <x:row r="174">
      <x:c r="A174" s="12"/>
      <x:c r="B174" s="12"/>
      <x:c r="C174" s="12"/>
      <x:c r="D174" s="12"/>
      <x:c r="E174" s="18"/>
      <x:c r="F174" s="12"/>
      <x:c r="G174" s="12"/>
      <x:c r="H174" s="18"/>
      <x:c r="I174" s="18"/>
      <x:c r="J174" s="18" t="str">
        <x:f>IFERROR(IF(OR(E174&lt;=0,I174=""),"",MAX(0,E174-H174)/I174),"")</x:f>
      </x:c>
      <x:c r="K174" s="12"/>
      <x:c r="L174" s="12"/>
      <x:c r="M174" s="12"/>
      <x:c r="N174" s="12"/>
    </x:row>
    <x:row r="175">
      <x:c r="A175" s="12"/>
      <x:c r="B175" s="12"/>
      <x:c r="C175" s="12"/>
      <x:c r="D175" s="12"/>
      <x:c r="E175" s="18"/>
      <x:c r="F175" s="12"/>
      <x:c r="G175" s="12"/>
      <x:c r="H175" s="18"/>
      <x:c r="I175" s="18"/>
      <x:c r="J175" s="18" t="str">
        <x:f>IFERROR(IF(OR(E175&lt;=0,I175=""),"",MAX(0,E175-H175)/I175),"")</x:f>
      </x:c>
      <x:c r="K175" s="12"/>
      <x:c r="L175" s="12"/>
      <x:c r="M175" s="12"/>
      <x:c r="N175" s="12"/>
    </x:row>
    <x:row r="176">
      <x:c r="A176" s="12"/>
      <x:c r="B176" s="12"/>
      <x:c r="C176" s="12"/>
      <x:c r="D176" s="12"/>
      <x:c r="E176" s="18"/>
      <x:c r="F176" s="12"/>
      <x:c r="G176" s="12"/>
      <x:c r="H176" s="18"/>
      <x:c r="I176" s="18"/>
      <x:c r="J176" s="18" t="str">
        <x:f>IFERROR(IF(OR(E176&lt;=0,I176=""),"",MAX(0,E176-H176)/I176),"")</x:f>
      </x:c>
      <x:c r="K176" s="12"/>
      <x:c r="L176" s="12"/>
      <x:c r="M176" s="12"/>
      <x:c r="N176" s="12"/>
    </x:row>
    <x:row r="177">
      <x:c r="A177" s="12"/>
      <x:c r="B177" s="12"/>
      <x:c r="C177" s="12"/>
      <x:c r="D177" s="12"/>
      <x:c r="E177" s="18"/>
      <x:c r="F177" s="12"/>
      <x:c r="G177" s="12"/>
      <x:c r="H177" s="18"/>
      <x:c r="I177" s="18"/>
      <x:c r="J177" s="18" t="str">
        <x:f>IFERROR(IF(OR(E177&lt;=0,I177=""),"",MAX(0,E177-H177)/I177),"")</x:f>
      </x:c>
      <x:c r="K177" s="12"/>
      <x:c r="L177" s="12"/>
      <x:c r="M177" s="12"/>
      <x:c r="N177" s="12"/>
    </x:row>
    <x:row r="178">
      <x:c r="A178" s="12"/>
      <x:c r="B178" s="12"/>
      <x:c r="C178" s="12"/>
      <x:c r="D178" s="12"/>
      <x:c r="E178" s="18"/>
      <x:c r="F178" s="12"/>
      <x:c r="G178" s="12"/>
      <x:c r="H178" s="18"/>
      <x:c r="I178" s="18"/>
      <x:c r="J178" s="18" t="str">
        <x:f>IFERROR(IF(OR(E178&lt;=0,I178=""),"",MAX(0,E178-H178)/I178),"")</x:f>
      </x:c>
      <x:c r="K178" s="12"/>
      <x:c r="L178" s="12"/>
      <x:c r="M178" s="12"/>
      <x:c r="N178" s="12"/>
    </x:row>
    <x:row r="179">
      <x:c r="A179" s="12"/>
      <x:c r="B179" s="12"/>
      <x:c r="C179" s="12"/>
      <x:c r="D179" s="12"/>
      <x:c r="E179" s="18"/>
      <x:c r="F179" s="12"/>
      <x:c r="G179" s="12"/>
      <x:c r="H179" s="18"/>
      <x:c r="I179" s="18"/>
      <x:c r="J179" s="18" t="str">
        <x:f>IFERROR(IF(OR(E179&lt;=0,I179=""),"",MAX(0,E179-H179)/I179),"")</x:f>
      </x:c>
      <x:c r="K179" s="12"/>
      <x:c r="L179" s="12"/>
      <x:c r="M179" s="12"/>
      <x:c r="N179" s="12"/>
    </x:row>
    <x:row r="180">
      <x:c r="A180" s="12"/>
      <x:c r="B180" s="12"/>
      <x:c r="C180" s="12"/>
      <x:c r="D180" s="12"/>
      <x:c r="E180" s="18"/>
      <x:c r="F180" s="12"/>
      <x:c r="G180" s="12"/>
      <x:c r="H180" s="18"/>
      <x:c r="I180" s="18"/>
      <x:c r="J180" s="18" t="str">
        <x:f>IFERROR(IF(OR(E180&lt;=0,I180=""),"",MAX(0,E180-H180)/I180),"")</x:f>
      </x:c>
      <x:c r="K180" s="12"/>
      <x:c r="L180" s="12"/>
      <x:c r="M180" s="12"/>
      <x:c r="N180" s="12"/>
    </x:row>
    <x:row r="181">
      <x:c r="A181" s="12"/>
      <x:c r="B181" s="12"/>
      <x:c r="C181" s="12"/>
      <x:c r="D181" s="12"/>
      <x:c r="E181" s="18"/>
      <x:c r="F181" s="12"/>
      <x:c r="G181" s="12"/>
      <x:c r="H181" s="18"/>
      <x:c r="I181" s="18"/>
      <x:c r="J181" s="18" t="str">
        <x:f>IFERROR(IF(OR(E181&lt;=0,I181=""),"",MAX(0,E181-H181)/I181),"")</x:f>
      </x:c>
      <x:c r="K181" s="12"/>
      <x:c r="L181" s="12"/>
      <x:c r="M181" s="12"/>
      <x:c r="N181" s="12"/>
    </x:row>
    <x:row r="182">
      <x:c r="A182" s="12"/>
      <x:c r="B182" s="12"/>
      <x:c r="C182" s="12"/>
      <x:c r="D182" s="12"/>
      <x:c r="E182" s="18"/>
      <x:c r="F182" s="12"/>
      <x:c r="G182" s="12"/>
      <x:c r="H182" s="18"/>
      <x:c r="I182" s="18"/>
      <x:c r="J182" s="18" t="str">
        <x:f>IFERROR(IF(OR(E182&lt;=0,I182=""),"",MAX(0,E182-H182)/I182),"")</x:f>
      </x:c>
      <x:c r="K182" s="12"/>
      <x:c r="L182" s="12"/>
      <x:c r="M182" s="12"/>
      <x:c r="N182" s="12"/>
    </x:row>
    <x:row r="183">
      <x:c r="A183" s="12"/>
      <x:c r="B183" s="12"/>
      <x:c r="C183" s="12"/>
      <x:c r="D183" s="12"/>
      <x:c r="E183" s="18"/>
      <x:c r="F183" s="12"/>
      <x:c r="G183" s="12"/>
      <x:c r="H183" s="18"/>
      <x:c r="I183" s="18"/>
      <x:c r="J183" s="18" t="str">
        <x:f>IFERROR(IF(OR(E183&lt;=0,I183=""),"",MAX(0,E183-H183)/I183),"")</x:f>
      </x:c>
      <x:c r="K183" s="12"/>
      <x:c r="L183" s="12"/>
      <x:c r="M183" s="12"/>
      <x:c r="N183" s="12"/>
    </x:row>
    <x:row r="184">
      <x:c r="A184" s="12"/>
      <x:c r="B184" s="12"/>
      <x:c r="C184" s="12"/>
      <x:c r="D184" s="12"/>
      <x:c r="E184" s="18"/>
      <x:c r="F184" s="12"/>
      <x:c r="G184" s="12"/>
      <x:c r="H184" s="18"/>
      <x:c r="I184" s="18"/>
      <x:c r="J184" s="18" t="str">
        <x:f>IFERROR(IF(OR(E184&lt;=0,I184=""),"",MAX(0,E184-H184)/I184),"")</x:f>
      </x:c>
      <x:c r="K184" s="12"/>
      <x:c r="L184" s="12"/>
      <x:c r="M184" s="12"/>
      <x:c r="N184" s="12"/>
    </x:row>
    <x:row r="185">
      <x:c r="A185" s="12"/>
      <x:c r="B185" s="12"/>
      <x:c r="C185" s="12"/>
      <x:c r="D185" s="12"/>
      <x:c r="E185" s="18"/>
      <x:c r="F185" s="12"/>
      <x:c r="G185" s="12"/>
      <x:c r="H185" s="18"/>
      <x:c r="I185" s="18"/>
      <x:c r="J185" s="18" t="str">
        <x:f>IFERROR(IF(OR(E185&lt;=0,I185=""),"",MAX(0,E185-H185)/I185),"")</x:f>
      </x:c>
      <x:c r="K185" s="12"/>
      <x:c r="L185" s="12"/>
      <x:c r="M185" s="12"/>
      <x:c r="N185" s="12"/>
    </x:row>
    <x:row r="186">
      <x:c r="A186" s="12"/>
      <x:c r="B186" s="12"/>
      <x:c r="C186" s="12"/>
      <x:c r="D186" s="12"/>
      <x:c r="E186" s="18"/>
      <x:c r="F186" s="12"/>
      <x:c r="G186" s="12"/>
      <x:c r="H186" s="18"/>
      <x:c r="I186" s="18"/>
      <x:c r="J186" s="18" t="str">
        <x:f>IFERROR(IF(OR(E186&lt;=0,I186=""),"",MAX(0,E186-H186)/I186),"")</x:f>
      </x:c>
      <x:c r="K186" s="12"/>
      <x:c r="L186" s="12"/>
      <x:c r="M186" s="12"/>
      <x:c r="N186" s="12"/>
    </x:row>
    <x:row r="187">
      <x:c r="A187" s="12"/>
      <x:c r="B187" s="12"/>
      <x:c r="C187" s="12"/>
      <x:c r="D187" s="12"/>
      <x:c r="E187" s="18"/>
      <x:c r="F187" s="12"/>
      <x:c r="G187" s="12"/>
      <x:c r="H187" s="18"/>
      <x:c r="I187" s="18"/>
      <x:c r="J187" s="18" t="str">
        <x:f>IFERROR(IF(OR(E187&lt;=0,I187=""),"",MAX(0,E187-H187)/I187),"")</x:f>
      </x:c>
      <x:c r="K187" s="12"/>
      <x:c r="L187" s="12"/>
      <x:c r="M187" s="12"/>
      <x:c r="N187" s="12"/>
    </x:row>
    <x:row r="188">
      <x:c r="A188" s="12"/>
      <x:c r="B188" s="12"/>
      <x:c r="C188" s="12"/>
      <x:c r="D188" s="12"/>
      <x:c r="E188" s="18"/>
      <x:c r="F188" s="12"/>
      <x:c r="G188" s="12"/>
      <x:c r="H188" s="18"/>
      <x:c r="I188" s="18"/>
      <x:c r="J188" s="18" t="str">
        <x:f>IFERROR(IF(OR(E188&lt;=0,I188=""),"",MAX(0,E188-H188)/I188),"")</x:f>
      </x:c>
      <x:c r="K188" s="12"/>
      <x:c r="L188" s="12"/>
      <x:c r="M188" s="12"/>
      <x:c r="N188" s="12"/>
    </x:row>
    <x:row r="189">
      <x:c r="A189" s="12"/>
      <x:c r="B189" s="12"/>
      <x:c r="C189" s="12"/>
      <x:c r="D189" s="12"/>
      <x:c r="E189" s="18"/>
      <x:c r="F189" s="12"/>
      <x:c r="G189" s="12"/>
      <x:c r="H189" s="18"/>
      <x:c r="I189" s="18"/>
      <x:c r="J189" s="18" t="str">
        <x:f>IFERROR(IF(OR(E189&lt;=0,I189=""),"",MAX(0,E189-H189)/I189),"")</x:f>
      </x:c>
      <x:c r="K189" s="12"/>
      <x:c r="L189" s="12"/>
      <x:c r="M189" s="12"/>
      <x:c r="N189" s="12"/>
    </x:row>
    <x:row r="190">
      <x:c r="A190" s="12"/>
      <x:c r="B190" s="12"/>
      <x:c r="C190" s="12"/>
      <x:c r="D190" s="12"/>
      <x:c r="E190" s="18"/>
      <x:c r="F190" s="12"/>
      <x:c r="G190" s="12"/>
      <x:c r="H190" s="18"/>
      <x:c r="I190" s="18"/>
      <x:c r="J190" s="18" t="str">
        <x:f>IFERROR(IF(OR(E190&lt;=0,I190=""),"",MAX(0,E190-H190)/I190),"")</x:f>
      </x:c>
      <x:c r="K190" s="12"/>
      <x:c r="L190" s="12"/>
      <x:c r="M190" s="12"/>
      <x:c r="N190" s="12"/>
    </x:row>
    <x:row r="191">
      <x:c r="A191" s="12"/>
      <x:c r="B191" s="12"/>
      <x:c r="C191" s="12"/>
      <x:c r="D191" s="12"/>
      <x:c r="E191" s="18"/>
      <x:c r="F191" s="12"/>
      <x:c r="G191" s="12"/>
      <x:c r="H191" s="18"/>
      <x:c r="I191" s="18"/>
      <x:c r="J191" s="18" t="str">
        <x:f>IFERROR(IF(OR(E191&lt;=0,I191=""),"",MAX(0,E191-H191)/I191),"")</x:f>
      </x:c>
      <x:c r="K191" s="12"/>
      <x:c r="L191" s="12"/>
      <x:c r="M191" s="12"/>
      <x:c r="N191" s="12"/>
    </x:row>
    <x:row r="192">
      <x:c r="A192" s="12"/>
      <x:c r="B192" s="12"/>
      <x:c r="C192" s="12"/>
      <x:c r="D192" s="12"/>
      <x:c r="E192" s="18"/>
      <x:c r="F192" s="12"/>
      <x:c r="G192" s="12"/>
      <x:c r="H192" s="18"/>
      <x:c r="I192" s="18"/>
      <x:c r="J192" s="18" t="str">
        <x:f>IFERROR(IF(OR(E192&lt;=0,I192=""),"",MAX(0,E192-H192)/I192),"")</x:f>
      </x:c>
      <x:c r="K192" s="12"/>
      <x:c r="L192" s="12"/>
      <x:c r="M192" s="12"/>
      <x:c r="N192" s="12"/>
    </x:row>
    <x:row r="193">
      <x:c r="A193" s="12"/>
      <x:c r="B193" s="12"/>
      <x:c r="C193" s="12"/>
      <x:c r="D193" s="12"/>
      <x:c r="E193" s="18"/>
      <x:c r="F193" s="12"/>
      <x:c r="G193" s="12"/>
      <x:c r="H193" s="18"/>
      <x:c r="I193" s="18"/>
      <x:c r="J193" s="18" t="str">
        <x:f>IFERROR(IF(OR(E193&lt;=0,I193=""),"",MAX(0,E193-H193)/I193),"")</x:f>
      </x:c>
      <x:c r="K193" s="12"/>
      <x:c r="L193" s="12"/>
      <x:c r="M193" s="12"/>
      <x:c r="N193" s="12"/>
    </x:row>
    <x:row r="194">
      <x:c r="A194" s="12"/>
      <x:c r="B194" s="12"/>
      <x:c r="C194" s="12"/>
      <x:c r="D194" s="12"/>
      <x:c r="E194" s="18"/>
      <x:c r="F194" s="12"/>
      <x:c r="G194" s="12"/>
      <x:c r="H194" s="18"/>
      <x:c r="I194" s="18"/>
      <x:c r="J194" s="18" t="str">
        <x:f>IFERROR(IF(OR(E194&lt;=0,I194=""),"",MAX(0,E194-H194)/I194),"")</x:f>
      </x:c>
      <x:c r="K194" s="12"/>
      <x:c r="L194" s="12"/>
      <x:c r="M194" s="12"/>
      <x:c r="N194" s="12"/>
    </x:row>
    <x:row r="195">
      <x:c r="A195" s="12"/>
      <x:c r="B195" s="12"/>
      <x:c r="C195" s="12"/>
      <x:c r="D195" s="12"/>
      <x:c r="E195" s="18"/>
      <x:c r="F195" s="12"/>
      <x:c r="G195" s="12"/>
      <x:c r="H195" s="18"/>
      <x:c r="I195" s="18"/>
      <x:c r="J195" s="18" t="str">
        <x:f>IFERROR(IF(OR(E195&lt;=0,I195=""),"",MAX(0,E195-H195)/I195),"")</x:f>
      </x:c>
      <x:c r="K195" s="12"/>
      <x:c r="L195" s="12"/>
      <x:c r="M195" s="12"/>
      <x:c r="N195" s="12"/>
    </x:row>
    <x:row r="196">
      <x:c r="A196" s="12"/>
      <x:c r="B196" s="12"/>
      <x:c r="C196" s="12"/>
      <x:c r="D196" s="12"/>
      <x:c r="E196" s="18"/>
      <x:c r="F196" s="12"/>
      <x:c r="G196" s="12"/>
      <x:c r="H196" s="18"/>
      <x:c r="I196" s="18"/>
      <x:c r="J196" s="18" t="str">
        <x:f>IFERROR(IF(OR(E196&lt;=0,I196=""),"",MAX(0,E196-H196)/I196),"")</x:f>
      </x:c>
      <x:c r="K196" s="12"/>
      <x:c r="L196" s="12"/>
      <x:c r="M196" s="12"/>
      <x:c r="N196" s="12"/>
    </x:row>
    <x:row r="197">
      <x:c r="A197" s="12"/>
      <x:c r="B197" s="12"/>
      <x:c r="C197" s="12"/>
      <x:c r="D197" s="12"/>
      <x:c r="E197" s="18"/>
      <x:c r="F197" s="12"/>
      <x:c r="G197" s="12"/>
      <x:c r="H197" s="18"/>
      <x:c r="I197" s="18"/>
      <x:c r="J197" s="18" t="str">
        <x:f>IFERROR(IF(OR(E197&lt;=0,I197=""),"",MAX(0,E197-H197)/I197),"")</x:f>
      </x:c>
      <x:c r="K197" s="12"/>
      <x:c r="L197" s="12"/>
      <x:c r="M197" s="12"/>
      <x:c r="N197" s="12"/>
    </x:row>
    <x:row r="198">
      <x:c r="A198" s="12"/>
      <x:c r="B198" s="12"/>
      <x:c r="C198" s="12"/>
      <x:c r="D198" s="12"/>
      <x:c r="E198" s="18"/>
      <x:c r="F198" s="12"/>
      <x:c r="G198" s="12"/>
      <x:c r="H198" s="18"/>
      <x:c r="I198" s="18"/>
      <x:c r="J198" s="18" t="str">
        <x:f>IFERROR(IF(OR(E198&lt;=0,I198=""),"",MAX(0,E198-H198)/I198),"")</x:f>
      </x:c>
      <x:c r="K198" s="12"/>
      <x:c r="L198" s="12"/>
      <x:c r="M198" s="12"/>
      <x:c r="N198" s="12"/>
    </x:row>
    <x:row r="199">
      <x:c r="A199" s="12"/>
      <x:c r="B199" s="12"/>
      <x:c r="C199" s="12"/>
      <x:c r="D199" s="12"/>
      <x:c r="E199" s="18"/>
      <x:c r="F199" s="12"/>
      <x:c r="G199" s="12"/>
      <x:c r="H199" s="18"/>
      <x:c r="I199" s="18"/>
      <x:c r="J199" s="18" t="str">
        <x:f>IFERROR(IF(OR(E199&lt;=0,I199=""),"",MAX(0,E199-H199)/I199),"")</x:f>
      </x:c>
      <x:c r="K199" s="12"/>
      <x:c r="L199" s="12"/>
      <x:c r="M199" s="12"/>
      <x:c r="N199" s="12"/>
    </x:row>
    <x:row r="200">
      <x:c r="A200" s="12"/>
      <x:c r="B200" s="12"/>
      <x:c r="C200" s="12"/>
      <x:c r="D200" s="12"/>
      <x:c r="E200" s="18"/>
      <x:c r="F200" s="12"/>
      <x:c r="G200" s="12"/>
      <x:c r="H200" s="18"/>
      <x:c r="I200" s="18"/>
      <x:c r="J200" s="18" t="str">
        <x:f>IFERROR(IF(OR(E200&lt;=0,I200=""),"",MAX(0,E200-H200)/I200),"")</x:f>
      </x:c>
      <x:c r="K200" s="12"/>
      <x:c r="L200" s="12"/>
      <x:c r="M200" s="12"/>
      <x:c r="N200" s="12"/>
    </x:row>
    <x:row r="201">
      <x:c r="A201" s="12"/>
      <x:c r="B201" s="12"/>
      <x:c r="C201" s="12"/>
      <x:c r="D201" s="12"/>
      <x:c r="E201" s="18"/>
      <x:c r="F201" s="12"/>
      <x:c r="G201" s="12"/>
      <x:c r="H201" s="18"/>
      <x:c r="I201" s="18"/>
      <x:c r="J201" s="18" t="str">
        <x:f>IFERROR(IF(OR(E201&lt;=0,I201=""),"",MAX(0,E201-H201)/I201),"")</x:f>
      </x:c>
      <x:c r="K201" s="12"/>
      <x:c r="L201" s="12"/>
      <x:c r="M201" s="12"/>
      <x:c r="N201" s="12"/>
    </x:row>
    <x:row r="202">
      <x:c r="A202" s="12"/>
      <x:c r="B202" s="12"/>
      <x:c r="C202" s="12"/>
      <x:c r="D202" s="12"/>
      <x:c r="E202" s="18"/>
      <x:c r="F202" s="12"/>
      <x:c r="G202" s="12"/>
      <x:c r="H202" s="18"/>
      <x:c r="I202" s="18"/>
      <x:c r="J202" s="18" t="str">
        <x:f>IFERROR(IF(OR(E202&lt;=0,I202=""),"",MAX(0,E202-H202)/I202),"")</x:f>
      </x:c>
      <x:c r="K202" s="12"/>
      <x:c r="L202" s="12"/>
      <x:c r="M202" s="12"/>
      <x:c r="N202" s="12"/>
    </x:row>
    <x:row r="203">
      <x:c r="A203" s="12"/>
      <x:c r="B203" s="12"/>
      <x:c r="C203" s="12"/>
      <x:c r="D203" s="12"/>
      <x:c r="E203" s="18"/>
      <x:c r="F203" s="12"/>
      <x:c r="G203" s="12"/>
      <x:c r="H203" s="18"/>
      <x:c r="I203" s="18"/>
      <x:c r="J203" s="18" t="str">
        <x:f>IFERROR(IF(OR(E203&lt;=0,I203=""),"",MAX(0,E203-H203)/I203),"")</x:f>
      </x:c>
      <x:c r="K203" s="12"/>
      <x:c r="L203" s="12"/>
      <x:c r="M203" s="12"/>
      <x:c r="N203" s="12"/>
    </x:row>
    <x:row r="204">
      <x:c r="A204" s="12"/>
      <x:c r="B204" s="12"/>
      <x:c r="C204" s="12"/>
      <x:c r="D204" s="12"/>
      <x:c r="E204" s="18"/>
      <x:c r="F204" s="12"/>
      <x:c r="G204" s="12"/>
      <x:c r="H204" s="18"/>
      <x:c r="I204" s="18"/>
      <x:c r="J204" s="18" t="str">
        <x:f>IFERROR(IF(OR(E204&lt;=0,I204=""),"",MAX(0,E204-H204)/I204),"")</x:f>
      </x:c>
      <x:c r="K204" s="12"/>
      <x:c r="L204" s="12"/>
      <x:c r="M204" s="12"/>
      <x:c r="N204" s="12"/>
    </x:row>
    <x:row r="205">
      <x:c r="A205" s="12"/>
      <x:c r="B205" s="12"/>
      <x:c r="C205" s="12"/>
      <x:c r="D205" s="12"/>
      <x:c r="E205" s="18"/>
      <x:c r="F205" s="12"/>
      <x:c r="G205" s="12"/>
      <x:c r="H205" s="18"/>
      <x:c r="I205" s="18"/>
      <x:c r="J205" s="18" t="str">
        <x:f>IFERROR(IF(OR(E205&lt;=0,I205=""),"",MAX(0,E205-H205)/I205),"")</x:f>
      </x:c>
      <x:c r="K205" s="12"/>
      <x:c r="L205" s="12"/>
      <x:c r="M205" s="12"/>
      <x:c r="N205" s="12"/>
    </x:row>
    <x:row r="206">
      <x:c r="A206" s="12"/>
      <x:c r="B206" s="12"/>
      <x:c r="C206" s="12"/>
      <x:c r="D206" s="12"/>
      <x:c r="E206" s="18"/>
      <x:c r="F206" s="12"/>
      <x:c r="G206" s="12"/>
      <x:c r="H206" s="18"/>
      <x:c r="I206" s="18"/>
      <x:c r="J206" s="18" t="str">
        <x:f>IFERROR(IF(OR(E206&lt;=0,I206=""),"",MAX(0,E206-H206)/I206),"")</x:f>
      </x:c>
      <x:c r="K206" s="12"/>
      <x:c r="L206" s="12"/>
      <x:c r="M206" s="12"/>
      <x:c r="N206" s="12"/>
    </x:row>
    <x:row r="207">
      <x:c r="A207" s="12"/>
      <x:c r="B207" s="12"/>
      <x:c r="C207" s="12"/>
      <x:c r="D207" s="12"/>
      <x:c r="E207" s="18"/>
      <x:c r="F207" s="12"/>
      <x:c r="G207" s="12"/>
      <x:c r="H207" s="18"/>
      <x:c r="I207" s="18"/>
      <x:c r="J207" s="18" t="str">
        <x:f>IFERROR(IF(OR(E207&lt;=0,I207=""),"",MAX(0,E207-H207)/I207),"")</x:f>
      </x:c>
      <x:c r="K207" s="12"/>
      <x:c r="L207" s="12"/>
      <x:c r="M207" s="12"/>
      <x:c r="N207" s="12"/>
    </x:row>
    <x:row r="208">
      <x:c r="A208" s="12"/>
      <x:c r="B208" s="12"/>
      <x:c r="C208" s="12"/>
      <x:c r="D208" s="12"/>
      <x:c r="E208" s="18"/>
      <x:c r="F208" s="12"/>
      <x:c r="G208" s="12"/>
      <x:c r="H208" s="18"/>
      <x:c r="I208" s="18"/>
      <x:c r="J208" s="18" t="str">
        <x:f>IFERROR(IF(OR(E208&lt;=0,I208=""),"",MAX(0,E208-H208)/I208),"")</x:f>
      </x:c>
      <x:c r="K208" s="12"/>
      <x:c r="L208" s="12"/>
      <x:c r="M208" s="12"/>
      <x:c r="N208" s="12"/>
    </x:row>
    <x:row r="209">
      <x:c r="A209" s="12"/>
      <x:c r="B209" s="12"/>
      <x:c r="C209" s="12"/>
      <x:c r="D209" s="12"/>
      <x:c r="E209" s="18"/>
      <x:c r="F209" s="12"/>
      <x:c r="G209" s="12"/>
      <x:c r="H209" s="18"/>
      <x:c r="I209" s="18"/>
      <x:c r="J209" s="18" t="str">
        <x:f>IFERROR(IF(OR(E209&lt;=0,I209=""),"",MAX(0,E209-H209)/I209),"")</x:f>
      </x:c>
      <x:c r="K209" s="12"/>
      <x:c r="L209" s="12"/>
      <x:c r="M209" s="12"/>
      <x:c r="N209" s="12"/>
    </x:row>
    <x:row r="210">
      <x:c r="A210" s="12"/>
      <x:c r="B210" s="12"/>
      <x:c r="C210" s="12"/>
      <x:c r="D210" s="12"/>
      <x:c r="E210" s="18"/>
      <x:c r="F210" s="12"/>
      <x:c r="G210" s="12"/>
      <x:c r="H210" s="18"/>
      <x:c r="I210" s="18"/>
      <x:c r="J210" s="18" t="str">
        <x:f>IFERROR(IF(OR(E210&lt;=0,I210=""),"",MAX(0,E210-H210)/I210),"")</x:f>
      </x:c>
      <x:c r="K210" s="12"/>
      <x:c r="L210" s="12"/>
      <x:c r="M210" s="12"/>
      <x:c r="N210" s="12"/>
    </x:row>
    <x:row r="211">
      <x:c r="A211" s="12"/>
      <x:c r="B211" s="12"/>
      <x:c r="C211" s="12"/>
      <x:c r="D211" s="12"/>
      <x:c r="E211" s="18"/>
      <x:c r="F211" s="12"/>
      <x:c r="G211" s="12"/>
      <x:c r="H211" s="18"/>
      <x:c r="I211" s="18"/>
      <x:c r="J211" s="18" t="str">
        <x:f>IFERROR(IF(OR(E211&lt;=0,I211=""),"",MAX(0,E211-H211)/I211),"")</x:f>
      </x:c>
      <x:c r="K211" s="12"/>
      <x:c r="L211" s="12"/>
      <x:c r="M211" s="12"/>
      <x:c r="N211" s="12"/>
    </x:row>
    <x:row r="212">
      <x:c r="A212" s="12"/>
      <x:c r="B212" s="12"/>
      <x:c r="C212" s="12"/>
      <x:c r="D212" s="12"/>
      <x:c r="E212" s="18"/>
      <x:c r="F212" s="12"/>
      <x:c r="G212" s="12"/>
      <x:c r="H212" s="18"/>
      <x:c r="I212" s="18"/>
      <x:c r="J212" s="18" t="str">
        <x:f>IFERROR(IF(OR(E212&lt;=0,I212=""),"",MAX(0,E212-H212)/I212),"")</x:f>
      </x:c>
      <x:c r="K212" s="12"/>
      <x:c r="L212" s="12"/>
      <x:c r="M212" s="12"/>
      <x:c r="N212" s="12"/>
    </x:row>
    <x:row r="213">
      <x:c r="A213" s="12"/>
      <x:c r="B213" s="12"/>
      <x:c r="C213" s="12"/>
      <x:c r="D213" s="12"/>
      <x:c r="E213" s="18"/>
      <x:c r="F213" s="12"/>
      <x:c r="G213" s="12"/>
      <x:c r="H213" s="18"/>
      <x:c r="I213" s="18"/>
      <x:c r="J213" s="18" t="str">
        <x:f>IFERROR(IF(OR(E213&lt;=0,I213=""),"",MAX(0,E213-H213)/I213),"")</x:f>
      </x:c>
      <x:c r="K213" s="12"/>
      <x:c r="L213" s="12"/>
      <x:c r="M213" s="12"/>
      <x:c r="N213" s="12"/>
    </x:row>
    <x:row r="214">
      <x:c r="A214" s="12"/>
      <x:c r="B214" s="12"/>
      <x:c r="C214" s="12"/>
      <x:c r="D214" s="12"/>
      <x:c r="E214" s="18"/>
      <x:c r="F214" s="12"/>
      <x:c r="G214" s="12"/>
      <x:c r="H214" s="18"/>
      <x:c r="I214" s="18"/>
      <x:c r="J214" s="18" t="str">
        <x:f>IFERROR(IF(OR(E214&lt;=0,I214=""),"",MAX(0,E214-H214)/I214),"")</x:f>
      </x:c>
      <x:c r="K214" s="12"/>
      <x:c r="L214" s="12"/>
      <x:c r="M214" s="12"/>
      <x:c r="N214" s="12"/>
    </x:row>
    <x:row r="215">
      <x:c r="A215" s="12"/>
      <x:c r="B215" s="12"/>
      <x:c r="C215" s="12"/>
      <x:c r="D215" s="12"/>
      <x:c r="E215" s="18"/>
      <x:c r="F215" s="12"/>
      <x:c r="G215" s="12"/>
      <x:c r="H215" s="18"/>
      <x:c r="I215" s="18"/>
      <x:c r="J215" s="18" t="str">
        <x:f>IFERROR(IF(OR(E215&lt;=0,I215=""),"",MAX(0,E215-H215)/I215),"")</x:f>
      </x:c>
      <x:c r="K215" s="12"/>
      <x:c r="L215" s="12"/>
      <x:c r="M215" s="12"/>
      <x:c r="N215" s="12"/>
    </x:row>
    <x:row r="216">
      <x:c r="A216" s="12"/>
      <x:c r="B216" s="12"/>
      <x:c r="C216" s="12"/>
      <x:c r="D216" s="12"/>
      <x:c r="E216" s="18"/>
      <x:c r="F216" s="12"/>
      <x:c r="G216" s="12"/>
      <x:c r="H216" s="18"/>
      <x:c r="I216" s="18"/>
      <x:c r="J216" s="18" t="str">
        <x:f>IFERROR(IF(OR(E216&lt;=0,I216=""),"",MAX(0,E216-H216)/I216),"")</x:f>
      </x:c>
      <x:c r="K216" s="12"/>
      <x:c r="L216" s="12"/>
      <x:c r="M216" s="12"/>
      <x:c r="N216" s="12"/>
    </x:row>
    <x:row r="217">
      <x:c r="A217" s="12"/>
      <x:c r="B217" s="12"/>
      <x:c r="C217" s="12"/>
      <x:c r="D217" s="12"/>
      <x:c r="E217" s="18"/>
      <x:c r="F217" s="12"/>
      <x:c r="G217" s="12"/>
      <x:c r="H217" s="18"/>
      <x:c r="I217" s="18"/>
      <x:c r="J217" s="18" t="str">
        <x:f>IFERROR(IF(OR(E217&lt;=0,I217=""),"",MAX(0,E217-H217)/I217),"")</x:f>
      </x:c>
      <x:c r="K217" s="12"/>
      <x:c r="L217" s="12"/>
      <x:c r="M217" s="12"/>
      <x:c r="N217" s="12"/>
    </x:row>
    <x:row r="218">
      <x:c r="A218" s="12"/>
      <x:c r="B218" s="12"/>
      <x:c r="C218" s="12"/>
      <x:c r="D218" s="12"/>
      <x:c r="E218" s="18"/>
      <x:c r="F218" s="12"/>
      <x:c r="G218" s="12"/>
      <x:c r="H218" s="18"/>
      <x:c r="I218" s="18"/>
      <x:c r="J218" s="18" t="str">
        <x:f>IFERROR(IF(OR(E218&lt;=0,I218=""),"",MAX(0,E218-H218)/I218),"")</x:f>
      </x:c>
      <x:c r="K218" s="12"/>
      <x:c r="L218" s="12"/>
      <x:c r="M218" s="12"/>
      <x:c r="N218" s="12"/>
    </x:row>
    <x:row r="219">
      <x:c r="A219" s="12"/>
      <x:c r="B219" s="12"/>
      <x:c r="C219" s="12"/>
      <x:c r="D219" s="12"/>
      <x:c r="E219" s="18"/>
      <x:c r="F219" s="12"/>
      <x:c r="G219" s="12"/>
      <x:c r="H219" s="18"/>
      <x:c r="I219" s="18"/>
      <x:c r="J219" s="18" t="str">
        <x:f>IFERROR(IF(OR(E219&lt;=0,I219=""),"",MAX(0,E219-H219)/I219),"")</x:f>
      </x:c>
      <x:c r="K219" s="12"/>
      <x:c r="L219" s="12"/>
      <x:c r="M219" s="12"/>
      <x:c r="N219" s="12"/>
    </x:row>
    <x:row r="220">
      <x:c r="A220" s="12"/>
      <x:c r="B220" s="12"/>
      <x:c r="C220" s="12"/>
      <x:c r="D220" s="12"/>
      <x:c r="E220" s="18"/>
      <x:c r="F220" s="12"/>
      <x:c r="G220" s="12"/>
      <x:c r="H220" s="18"/>
      <x:c r="I220" s="18"/>
      <x:c r="J220" s="18" t="str">
        <x:f>IFERROR(IF(OR(E220&lt;=0,I220=""),"",MAX(0,E220-H220)/I220),"")</x:f>
      </x:c>
      <x:c r="K220" s="12"/>
      <x:c r="L220" s="12"/>
      <x:c r="M220" s="12"/>
      <x:c r="N220" s="12"/>
    </x:row>
    <x:row r="221">
      <x:c r="A221" s="12"/>
      <x:c r="B221" s="12"/>
      <x:c r="C221" s="12"/>
      <x:c r="D221" s="12"/>
      <x:c r="E221" s="18"/>
      <x:c r="F221" s="12"/>
      <x:c r="G221" s="12"/>
      <x:c r="H221" s="18"/>
      <x:c r="I221" s="18"/>
      <x:c r="J221" s="18" t="str">
        <x:f>IFERROR(IF(OR(E221&lt;=0,I221=""),"",MAX(0,E221-H221)/I221),"")</x:f>
      </x:c>
      <x:c r="K221" s="12"/>
      <x:c r="L221" s="12"/>
      <x:c r="M221" s="12"/>
      <x:c r="N221" s="12"/>
    </x:row>
    <x:row r="222">
      <x:c r="A222" s="12"/>
      <x:c r="B222" s="12"/>
      <x:c r="C222" s="12"/>
      <x:c r="D222" s="12"/>
      <x:c r="E222" s="18"/>
      <x:c r="F222" s="12"/>
      <x:c r="G222" s="12"/>
      <x:c r="H222" s="18"/>
      <x:c r="I222" s="18"/>
      <x:c r="J222" s="18" t="str">
        <x:f>IFERROR(IF(OR(E222&lt;=0,I222=""),"",MAX(0,E222-H222)/I222),"")</x:f>
      </x:c>
      <x:c r="K222" s="12"/>
      <x:c r="L222" s="12"/>
      <x:c r="M222" s="12"/>
      <x:c r="N222" s="12"/>
    </x:row>
    <x:row r="223">
      <x:c r="A223" s="12"/>
      <x:c r="B223" s="12"/>
      <x:c r="C223" s="12"/>
      <x:c r="D223" s="12"/>
      <x:c r="E223" s="18"/>
      <x:c r="F223" s="12"/>
      <x:c r="G223" s="12"/>
      <x:c r="H223" s="18"/>
      <x:c r="I223" s="18"/>
      <x:c r="J223" s="18" t="str">
        <x:f>IFERROR(IF(OR(E223&lt;=0,I223=""),"",MAX(0,E223-H223)/I223),"")</x:f>
      </x:c>
      <x:c r="K223" s="12"/>
      <x:c r="L223" s="12"/>
      <x:c r="M223" s="12"/>
      <x:c r="N223" s="12"/>
    </x:row>
    <x:row r="224">
      <x:c r="A224" s="12"/>
      <x:c r="B224" s="12"/>
      <x:c r="C224" s="12"/>
      <x:c r="D224" s="12"/>
      <x:c r="E224" s="18"/>
      <x:c r="F224" s="12"/>
      <x:c r="G224" s="12"/>
      <x:c r="H224" s="18"/>
      <x:c r="I224" s="18"/>
      <x:c r="J224" s="18" t="str">
        <x:f>IFERROR(IF(OR(E224&lt;=0,I224=""),"",MAX(0,E224-H224)/I224),"")</x:f>
      </x:c>
      <x:c r="K224" s="12"/>
      <x:c r="L224" s="12"/>
      <x:c r="M224" s="12"/>
      <x:c r="N224" s="12"/>
    </x:row>
    <x:row r="225">
      <x:c r="A225" s="12"/>
      <x:c r="B225" s="12"/>
      <x:c r="C225" s="12"/>
      <x:c r="D225" s="12"/>
      <x:c r="E225" s="18"/>
      <x:c r="F225" s="12"/>
      <x:c r="G225" s="12"/>
      <x:c r="H225" s="18"/>
      <x:c r="I225" s="18"/>
      <x:c r="J225" s="18" t="str">
        <x:f>IFERROR(IF(OR(E225&lt;=0,I225=""),"",MAX(0,E225-H225)/I225),"")</x:f>
      </x:c>
      <x:c r="K225" s="12"/>
      <x:c r="L225" s="12"/>
      <x:c r="M225" s="12"/>
      <x:c r="N225" s="12"/>
    </x:row>
    <x:row r="226">
      <x:c r="A226" s="12"/>
      <x:c r="B226" s="12"/>
      <x:c r="C226" s="12"/>
      <x:c r="D226" s="12"/>
      <x:c r="E226" s="18"/>
      <x:c r="F226" s="12"/>
      <x:c r="G226" s="12"/>
      <x:c r="H226" s="18"/>
      <x:c r="I226" s="18"/>
      <x:c r="J226" s="18" t="str">
        <x:f>IFERROR(IF(OR(E226&lt;=0,I226=""),"",MAX(0,E226-H226)/I226),"")</x:f>
      </x:c>
      <x:c r="K226" s="12"/>
      <x:c r="L226" s="12"/>
      <x:c r="M226" s="12"/>
      <x:c r="N226" s="12"/>
    </x:row>
    <x:row r="227">
      <x:c r="A227" s="12"/>
      <x:c r="B227" s="12"/>
      <x:c r="C227" s="12"/>
      <x:c r="D227" s="12"/>
      <x:c r="E227" s="18"/>
      <x:c r="F227" s="12"/>
      <x:c r="G227" s="12"/>
      <x:c r="H227" s="18"/>
      <x:c r="I227" s="18"/>
      <x:c r="J227" s="18" t="str">
        <x:f>IFERROR(IF(OR(E227&lt;=0,I227=""),"",MAX(0,E227-H227)/I227),"")</x:f>
      </x:c>
      <x:c r="K227" s="12"/>
      <x:c r="L227" s="12"/>
      <x:c r="M227" s="12"/>
      <x:c r="N227" s="12"/>
    </x:row>
    <x:row r="228">
      <x:c r="A228" s="12"/>
      <x:c r="B228" s="12"/>
      <x:c r="C228" s="12"/>
      <x:c r="D228" s="12"/>
      <x:c r="E228" s="18"/>
      <x:c r="F228" s="12"/>
      <x:c r="G228" s="12"/>
      <x:c r="H228" s="18"/>
      <x:c r="I228" s="18"/>
      <x:c r="J228" s="18" t="str">
        <x:f>IFERROR(IF(OR(E228&lt;=0,I228=""),"",MAX(0,E228-H228)/I228),"")</x:f>
      </x:c>
      <x:c r="K228" s="12"/>
      <x:c r="L228" s="12"/>
      <x:c r="M228" s="12"/>
      <x:c r="N228" s="12"/>
    </x:row>
    <x:row r="229">
      <x:c r="A229" s="12"/>
      <x:c r="B229" s="12"/>
      <x:c r="C229" s="12"/>
      <x:c r="D229" s="12"/>
      <x:c r="E229" s="18"/>
      <x:c r="F229" s="12"/>
      <x:c r="G229" s="12"/>
      <x:c r="H229" s="18"/>
      <x:c r="I229" s="18"/>
      <x:c r="J229" s="18" t="str">
        <x:f>IFERROR(IF(OR(E229&lt;=0,I229=""),"",MAX(0,E229-H229)/I229),"")</x:f>
      </x:c>
      <x:c r="K229" s="12"/>
      <x:c r="L229" s="12"/>
      <x:c r="M229" s="12"/>
      <x:c r="N229" s="12"/>
    </x:row>
    <x:row r="230">
      <x:c r="A230" s="12"/>
      <x:c r="B230" s="12"/>
      <x:c r="C230" s="12"/>
      <x:c r="D230" s="12"/>
      <x:c r="E230" s="18"/>
      <x:c r="F230" s="12"/>
      <x:c r="G230" s="12"/>
      <x:c r="H230" s="18"/>
      <x:c r="I230" s="18"/>
      <x:c r="J230" s="18" t="str">
        <x:f>IFERROR(IF(OR(E230&lt;=0,I230=""),"",MAX(0,E230-H230)/I230),"")</x:f>
      </x:c>
      <x:c r="K230" s="12"/>
      <x:c r="L230" s="12"/>
      <x:c r="M230" s="12"/>
      <x:c r="N230" s="12"/>
    </x:row>
    <x:row r="231">
      <x:c r="A231" s="12"/>
      <x:c r="B231" s="12"/>
      <x:c r="C231" s="12"/>
      <x:c r="D231" s="12"/>
      <x:c r="E231" s="18"/>
      <x:c r="F231" s="12"/>
      <x:c r="G231" s="12"/>
      <x:c r="H231" s="18"/>
      <x:c r="I231" s="18"/>
      <x:c r="J231" s="18" t="str">
        <x:f>IFERROR(IF(OR(E231&lt;=0,I231=""),"",MAX(0,E231-H231)/I231),"")</x:f>
      </x:c>
      <x:c r="K231" s="12"/>
      <x:c r="L231" s="12"/>
      <x:c r="M231" s="12"/>
      <x:c r="N231" s="12"/>
    </x:row>
    <x:row r="232">
      <x:c r="A232" s="12"/>
      <x:c r="B232" s="12"/>
      <x:c r="C232" s="12"/>
      <x:c r="D232" s="12"/>
      <x:c r="E232" s="18"/>
      <x:c r="F232" s="12"/>
      <x:c r="G232" s="12"/>
      <x:c r="H232" s="18"/>
      <x:c r="I232" s="18"/>
      <x:c r="J232" s="18" t="str">
        <x:f>IFERROR(IF(OR(E232&lt;=0,I232=""),"",MAX(0,E232-H232)/I232),"")</x:f>
      </x:c>
      <x:c r="K232" s="12"/>
      <x:c r="L232" s="12"/>
      <x:c r="M232" s="12"/>
      <x:c r="N232" s="12"/>
    </x:row>
    <x:row r="233">
      <x:c r="A233" s="12"/>
      <x:c r="B233" s="12"/>
      <x:c r="C233" s="12"/>
      <x:c r="D233" s="12"/>
      <x:c r="E233" s="18"/>
      <x:c r="F233" s="12"/>
      <x:c r="G233" s="12"/>
      <x:c r="H233" s="18"/>
      <x:c r="I233" s="18"/>
      <x:c r="J233" s="18" t="str">
        <x:f>IFERROR(IF(OR(E233&lt;=0,I233=""),"",MAX(0,E233-H233)/I233),"")</x:f>
      </x:c>
      <x:c r="K233" s="12"/>
      <x:c r="L233" s="12"/>
      <x:c r="M233" s="12"/>
      <x:c r="N233" s="12"/>
    </x:row>
    <x:row r="234">
      <x:c r="A234" s="12"/>
      <x:c r="B234" s="12"/>
      <x:c r="C234" s="12"/>
      <x:c r="D234" s="12"/>
      <x:c r="E234" s="18"/>
      <x:c r="F234" s="12"/>
      <x:c r="G234" s="12"/>
      <x:c r="H234" s="18"/>
      <x:c r="I234" s="18"/>
      <x:c r="J234" s="18" t="str">
        <x:f>IFERROR(IF(OR(E234&lt;=0,I234=""),"",MAX(0,E234-H234)/I234),"")</x:f>
      </x:c>
      <x:c r="K234" s="12"/>
      <x:c r="L234" s="12"/>
      <x:c r="M234" s="12"/>
      <x:c r="N234" s="12"/>
    </x:row>
    <x:row r="235">
      <x:c r="A235" s="12"/>
      <x:c r="B235" s="12"/>
      <x:c r="C235" s="12"/>
      <x:c r="D235" s="12"/>
      <x:c r="E235" s="18"/>
      <x:c r="F235" s="12"/>
      <x:c r="G235" s="12"/>
      <x:c r="H235" s="18"/>
      <x:c r="I235" s="18"/>
      <x:c r="J235" s="18" t="str">
        <x:f>IFERROR(IF(OR(E235&lt;=0,I235=""),"",MAX(0,E235-H235)/I235),"")</x:f>
      </x:c>
      <x:c r="K235" s="12"/>
      <x:c r="L235" s="12"/>
      <x:c r="M235" s="12"/>
      <x:c r="N235" s="12"/>
    </x:row>
    <x:row r="236">
      <x:c r="A236" s="12"/>
      <x:c r="B236" s="12"/>
      <x:c r="C236" s="12"/>
      <x:c r="D236" s="12"/>
      <x:c r="E236" s="18"/>
      <x:c r="F236" s="12"/>
      <x:c r="G236" s="12"/>
      <x:c r="H236" s="18"/>
      <x:c r="I236" s="18"/>
      <x:c r="J236" s="18" t="str">
        <x:f>IFERROR(IF(OR(E236&lt;=0,I236=""),"",MAX(0,E236-H236)/I236),"")</x:f>
      </x:c>
      <x:c r="K236" s="12"/>
      <x:c r="L236" s="12"/>
      <x:c r="M236" s="12"/>
      <x:c r="N236" s="12"/>
    </x:row>
    <x:row r="237">
      <x:c r="A237" s="12"/>
      <x:c r="B237" s="12"/>
      <x:c r="C237" s="12"/>
      <x:c r="D237" s="12"/>
      <x:c r="E237" s="18"/>
      <x:c r="F237" s="12"/>
      <x:c r="G237" s="12"/>
      <x:c r="H237" s="18"/>
      <x:c r="I237" s="18"/>
      <x:c r="J237" s="18" t="str">
        <x:f>IFERROR(IF(OR(E237&lt;=0,I237=""),"",MAX(0,E237-H237)/I237),"")</x:f>
      </x:c>
      <x:c r="K237" s="12"/>
      <x:c r="L237" s="12"/>
      <x:c r="M237" s="12"/>
      <x:c r="N237" s="12"/>
    </x:row>
    <x:row r="238">
      <x:c r="A238" s="12"/>
      <x:c r="B238" s="12"/>
      <x:c r="C238" s="12"/>
      <x:c r="D238" s="12"/>
      <x:c r="E238" s="18"/>
      <x:c r="F238" s="12"/>
      <x:c r="G238" s="12"/>
      <x:c r="H238" s="18"/>
      <x:c r="I238" s="18"/>
      <x:c r="J238" s="18" t="str">
        <x:f>IFERROR(IF(OR(E238&lt;=0,I238=""),"",MAX(0,E238-H238)/I238),"")</x:f>
      </x:c>
      <x:c r="K238" s="12"/>
      <x:c r="L238" s="12"/>
      <x:c r="M238" s="12"/>
      <x:c r="N238" s="12"/>
    </x:row>
    <x:row r="239">
      <x:c r="A239" s="12"/>
      <x:c r="B239" s="12"/>
      <x:c r="C239" s="12"/>
      <x:c r="D239" s="12"/>
      <x:c r="E239" s="18"/>
      <x:c r="F239" s="12"/>
      <x:c r="G239" s="12"/>
      <x:c r="H239" s="18"/>
      <x:c r="I239" s="18"/>
      <x:c r="J239" s="18" t="str">
        <x:f>IFERROR(IF(OR(E239&lt;=0,I239=""),"",MAX(0,E239-H239)/I239),"")</x:f>
      </x:c>
      <x:c r="K239" s="12"/>
      <x:c r="L239" s="12"/>
      <x:c r="M239" s="12"/>
      <x:c r="N239" s="12"/>
    </x:row>
    <x:row r="240">
      <x:c r="A240" s="12"/>
      <x:c r="B240" s="12"/>
      <x:c r="C240" s="12"/>
      <x:c r="D240" s="12"/>
      <x:c r="E240" s="18"/>
      <x:c r="F240" s="12"/>
      <x:c r="G240" s="12"/>
      <x:c r="H240" s="18"/>
      <x:c r="I240" s="18"/>
      <x:c r="J240" s="18" t="str">
        <x:f>IFERROR(IF(OR(E240&lt;=0,I240=""),"",MAX(0,E240-H240)/I240),"")</x:f>
      </x:c>
      <x:c r="K240" s="12"/>
      <x:c r="L240" s="12"/>
      <x:c r="M240" s="12"/>
      <x:c r="N240" s="12"/>
    </x:row>
    <x:row r="241">
      <x:c r="A241" s="12"/>
      <x:c r="B241" s="12"/>
      <x:c r="C241" s="12"/>
      <x:c r="D241" s="12"/>
      <x:c r="E241" s="18"/>
      <x:c r="F241" s="12"/>
      <x:c r="G241" s="12"/>
      <x:c r="H241" s="18"/>
      <x:c r="I241" s="18"/>
      <x:c r="J241" s="18" t="str">
        <x:f>IFERROR(IF(OR(E241&lt;=0,I241=""),"",MAX(0,E241-H241)/I241),"")</x:f>
      </x:c>
      <x:c r="K241" s="12"/>
      <x:c r="L241" s="12"/>
      <x:c r="M241" s="12"/>
      <x:c r="N241" s="12"/>
    </x:row>
    <x:row r="242">
      <x:c r="A242" s="12"/>
      <x:c r="B242" s="12"/>
      <x:c r="C242" s="12"/>
      <x:c r="D242" s="12"/>
      <x:c r="E242" s="18"/>
      <x:c r="F242" s="12"/>
      <x:c r="G242" s="12"/>
      <x:c r="H242" s="18"/>
      <x:c r="I242" s="18"/>
      <x:c r="J242" s="18" t="str">
        <x:f>IFERROR(IF(OR(E242&lt;=0,I242=""),"",MAX(0,E242-H242)/I242),"")</x:f>
      </x:c>
      <x:c r="K242" s="12"/>
      <x:c r="L242" s="12"/>
      <x:c r="M242" s="12"/>
      <x:c r="N242" s="12"/>
    </x:row>
    <x:row r="243">
      <x:c r="A243" s="12"/>
      <x:c r="B243" s="12"/>
      <x:c r="C243" s="12"/>
      <x:c r="D243" s="12"/>
      <x:c r="E243" s="18"/>
      <x:c r="F243" s="12"/>
      <x:c r="G243" s="12"/>
      <x:c r="H243" s="18"/>
      <x:c r="I243" s="18"/>
      <x:c r="J243" s="18" t="str">
        <x:f>IFERROR(IF(OR(E243&lt;=0,I243=""),"",MAX(0,E243-H243)/I243),"")</x:f>
      </x:c>
      <x:c r="K243" s="12"/>
      <x:c r="L243" s="12"/>
      <x:c r="M243" s="12"/>
      <x:c r="N243" s="12"/>
    </x:row>
    <x:row r="244">
      <x:c r="A244" s="12"/>
      <x:c r="B244" s="12"/>
      <x:c r="C244" s="12"/>
      <x:c r="D244" s="12"/>
      <x:c r="E244" s="18"/>
      <x:c r="F244" s="12"/>
      <x:c r="G244" s="12"/>
      <x:c r="H244" s="18"/>
      <x:c r="I244" s="18"/>
      <x:c r="J244" s="18" t="str">
        <x:f>IFERROR(IF(OR(E244&lt;=0,I244=""),"",MAX(0,E244-H244)/I244),"")</x:f>
      </x:c>
      <x:c r="K244" s="12"/>
      <x:c r="L244" s="12"/>
      <x:c r="M244" s="12"/>
      <x:c r="N244" s="12"/>
    </x:row>
    <x:row r="245">
      <x:c r="A245" s="12"/>
      <x:c r="B245" s="12"/>
      <x:c r="C245" s="12"/>
      <x:c r="D245" s="12"/>
      <x:c r="E245" s="18"/>
      <x:c r="F245" s="12"/>
      <x:c r="G245" s="12"/>
      <x:c r="H245" s="18"/>
      <x:c r="I245" s="18"/>
      <x:c r="J245" s="18" t="str">
        <x:f>IFERROR(IF(OR(E245&lt;=0,I245=""),"",MAX(0,E245-H245)/I245),"")</x:f>
      </x:c>
      <x:c r="K245" s="12"/>
      <x:c r="L245" s="12"/>
      <x:c r="M245" s="12"/>
      <x:c r="N245" s="12"/>
    </x:row>
    <x:row r="246">
      <x:c r="A246" s="12"/>
      <x:c r="B246" s="12"/>
      <x:c r="C246" s="12"/>
      <x:c r="D246" s="12"/>
      <x:c r="E246" s="18"/>
      <x:c r="F246" s="12"/>
      <x:c r="G246" s="12"/>
      <x:c r="H246" s="18"/>
      <x:c r="I246" s="18"/>
      <x:c r="J246" s="18" t="str">
        <x:f>IFERROR(IF(OR(E246&lt;=0,I246=""),"",MAX(0,E246-H246)/I246),"")</x:f>
      </x:c>
      <x:c r="K246" s="12"/>
      <x:c r="L246" s="12"/>
      <x:c r="M246" s="12"/>
      <x:c r="N246" s="12"/>
    </x:row>
    <x:row r="247">
      <x:c r="A247" s="12"/>
      <x:c r="B247" s="12"/>
      <x:c r="C247" s="12"/>
      <x:c r="D247" s="12"/>
      <x:c r="E247" s="18"/>
      <x:c r="F247" s="12"/>
      <x:c r="G247" s="12"/>
      <x:c r="H247" s="18"/>
      <x:c r="I247" s="18"/>
      <x:c r="J247" s="18" t="str">
        <x:f>IFERROR(IF(OR(E247&lt;=0,I247=""),"",MAX(0,E247-H247)/I247),"")</x:f>
      </x:c>
      <x:c r="K247" s="12"/>
      <x:c r="L247" s="12"/>
      <x:c r="M247" s="12"/>
      <x:c r="N247" s="12"/>
    </x:row>
    <x:row r="248">
      <x:c r="A248" s="12"/>
      <x:c r="B248" s="12"/>
      <x:c r="C248" s="12"/>
      <x:c r="D248" s="12"/>
      <x:c r="E248" s="18"/>
      <x:c r="F248" s="12"/>
      <x:c r="G248" s="12"/>
      <x:c r="H248" s="18"/>
      <x:c r="I248" s="18"/>
      <x:c r="J248" s="18" t="str">
        <x:f>IFERROR(IF(OR(E248&lt;=0,I248=""),"",MAX(0,E248-H248)/I248),"")</x:f>
      </x:c>
      <x:c r="K248" s="12"/>
      <x:c r="L248" s="12"/>
      <x:c r="M248" s="12"/>
      <x:c r="N248" s="12"/>
    </x:row>
    <x:row r="249">
      <x:c r="A249" s="12"/>
      <x:c r="B249" s="12"/>
      <x:c r="C249" s="12"/>
      <x:c r="D249" s="12"/>
      <x:c r="E249" s="18"/>
      <x:c r="F249" s="12"/>
      <x:c r="G249" s="12"/>
      <x:c r="H249" s="18"/>
      <x:c r="I249" s="18"/>
      <x:c r="J249" s="18" t="str">
        <x:f>IFERROR(IF(OR(E249&lt;=0,I249=""),"",MAX(0,E249-H249)/I249),"")</x:f>
      </x:c>
      <x:c r="K249" s="12"/>
      <x:c r="L249" s="12"/>
      <x:c r="M249" s="12"/>
      <x:c r="N249" s="12"/>
    </x:row>
    <x:row r="250">
      <x:c r="A250" s="12"/>
      <x:c r="B250" s="12"/>
      <x:c r="C250" s="12"/>
      <x:c r="D250" s="12"/>
      <x:c r="E250" s="18"/>
      <x:c r="F250" s="12"/>
      <x:c r="G250" s="12"/>
      <x:c r="H250" s="18"/>
      <x:c r="I250" s="18"/>
      <x:c r="J250" s="18" t="str">
        <x:f>IFERROR(IF(OR(E250&lt;=0,I250=""),"",MAX(0,E250-H250)/I250),"")</x:f>
      </x:c>
      <x:c r="K250" s="12"/>
      <x:c r="L250" s="12"/>
      <x:c r="M250" s="12"/>
      <x:c r="N250" s="12"/>
    </x:row>
    <x:row r="251">
      <x:c r="A251" s="12"/>
      <x:c r="B251" s="12"/>
      <x:c r="C251" s="12"/>
      <x:c r="D251" s="12"/>
      <x:c r="E251" s="18"/>
      <x:c r="F251" s="12"/>
      <x:c r="G251" s="12"/>
      <x:c r="H251" s="18"/>
      <x:c r="I251" s="18"/>
      <x:c r="J251" s="18" t="str">
        <x:f>IFERROR(IF(OR(E251&lt;=0,I251=""),"",MAX(0,E251-H251)/I251),"")</x:f>
      </x:c>
      <x:c r="K251" s="12"/>
      <x:c r="L251" s="12"/>
      <x:c r="M251" s="12"/>
      <x:c r="N251" s="12"/>
    </x:row>
    <x:row r="252">
      <x:c r="A252" s="12"/>
      <x:c r="B252" s="12"/>
      <x:c r="C252" s="12"/>
      <x:c r="D252" s="12"/>
      <x:c r="E252" s="18"/>
      <x:c r="F252" s="12"/>
      <x:c r="G252" s="12"/>
      <x:c r="H252" s="18"/>
      <x:c r="I252" s="18"/>
      <x:c r="J252" s="18" t="str">
        <x:f>IFERROR(IF(OR(E252&lt;=0,I252=""),"",MAX(0,E252-H252)/I252),"")</x:f>
      </x:c>
      <x:c r="K252" s="12"/>
      <x:c r="L252" s="12"/>
      <x:c r="M252" s="12"/>
      <x:c r="N252" s="12"/>
    </x:row>
    <x:row r="253">
      <x:c r="A253" s="12"/>
      <x:c r="B253" s="12"/>
      <x:c r="C253" s="12"/>
      <x:c r="D253" s="12"/>
      <x:c r="E253" s="18"/>
      <x:c r="F253" s="12"/>
      <x:c r="G253" s="12"/>
      <x:c r="H253" s="18"/>
      <x:c r="I253" s="18"/>
      <x:c r="J253" s="18" t="str">
        <x:f>IFERROR(IF(OR(E253&lt;=0,I253=""),"",MAX(0,E253-H253)/I253),"")</x:f>
      </x:c>
      <x:c r="K253" s="12"/>
      <x:c r="L253" s="12"/>
      <x:c r="M253" s="12"/>
      <x:c r="N253" s="12"/>
    </x:row>
    <x:row r="254">
      <x:c r="A254" s="12"/>
      <x:c r="B254" s="12"/>
      <x:c r="C254" s="12"/>
      <x:c r="D254" s="12"/>
      <x:c r="E254" s="18"/>
      <x:c r="F254" s="12"/>
      <x:c r="G254" s="12"/>
      <x:c r="H254" s="18"/>
      <x:c r="I254" s="18"/>
      <x:c r="J254" s="18" t="str">
        <x:f>IFERROR(IF(OR(E254&lt;=0,I254=""),"",MAX(0,E254-H254)/I254),"")</x:f>
      </x:c>
      <x:c r="K254" s="12"/>
      <x:c r="L254" s="12"/>
      <x:c r="M254" s="12"/>
      <x:c r="N254" s="12"/>
    </x:row>
    <x:row r="255">
      <x:c r="A255" s="12"/>
      <x:c r="B255" s="12"/>
      <x:c r="C255" s="12"/>
      <x:c r="D255" s="12"/>
      <x:c r="E255" s="18"/>
      <x:c r="F255" s="12"/>
      <x:c r="G255" s="12"/>
      <x:c r="H255" s="18"/>
      <x:c r="I255" s="18"/>
      <x:c r="J255" s="18" t="str">
        <x:f>IFERROR(IF(OR(E255&lt;=0,I255=""),"",MAX(0,E255-H255)/I255),"")</x:f>
      </x:c>
      <x:c r="K255" s="12"/>
      <x:c r="L255" s="12"/>
      <x:c r="M255" s="12"/>
      <x:c r="N255" s="12"/>
    </x:row>
    <x:row r="256">
      <x:c r="A256" s="12"/>
      <x:c r="B256" s="12"/>
      <x:c r="C256" s="12"/>
      <x:c r="D256" s="12"/>
      <x:c r="E256" s="18"/>
      <x:c r="F256" s="12"/>
      <x:c r="G256" s="12"/>
      <x:c r="H256" s="18"/>
      <x:c r="I256" s="18"/>
      <x:c r="J256" s="18" t="str">
        <x:f>IFERROR(IF(OR(E256&lt;=0,I256=""),"",MAX(0,E256-H256)/I256),"")</x:f>
      </x:c>
      <x:c r="K256" s="12"/>
      <x:c r="L256" s="12"/>
      <x:c r="M256" s="12"/>
      <x:c r="N256" s="12"/>
    </x:row>
    <x:row r="257">
      <x:c r="A257" s="12"/>
      <x:c r="B257" s="12"/>
      <x:c r="C257" s="12"/>
      <x:c r="D257" s="12"/>
      <x:c r="E257" s="18"/>
      <x:c r="F257" s="12"/>
      <x:c r="G257" s="12"/>
      <x:c r="H257" s="18"/>
      <x:c r="I257" s="18"/>
      <x:c r="J257" s="18" t="str">
        <x:f>IFERROR(IF(OR(E257&lt;=0,I257=""),"",MAX(0,E257-H257)/I257),"")</x:f>
      </x:c>
      <x:c r="K257" s="12"/>
      <x:c r="L257" s="12"/>
      <x:c r="M257" s="12"/>
      <x:c r="N257" s="12"/>
    </x:row>
    <x:row r="258">
      <x:c r="A258" s="12"/>
      <x:c r="B258" s="12"/>
      <x:c r="C258" s="12"/>
      <x:c r="D258" s="12"/>
      <x:c r="E258" s="18"/>
      <x:c r="F258" s="12"/>
      <x:c r="G258" s="12"/>
      <x:c r="H258" s="18"/>
      <x:c r="I258" s="18"/>
      <x:c r="J258" s="18" t="str">
        <x:f>IFERROR(IF(OR(E258&lt;=0,I258=""),"",MAX(0,E258-H258)/I258),"")</x:f>
      </x:c>
      <x:c r="K258" s="12"/>
      <x:c r="L258" s="12"/>
      <x:c r="M258" s="12"/>
      <x:c r="N258" s="12"/>
    </x:row>
    <x:row r="259">
      <x:c r="A259" s="12"/>
      <x:c r="B259" s="12"/>
      <x:c r="C259" s="12"/>
      <x:c r="D259" s="12"/>
      <x:c r="E259" s="18"/>
      <x:c r="F259" s="12"/>
      <x:c r="G259" s="12"/>
      <x:c r="H259" s="18"/>
      <x:c r="I259" s="18"/>
      <x:c r="J259" s="18" t="str">
        <x:f>IFERROR(IF(OR(E259&lt;=0,I259=""),"",MAX(0,E259-H259)/I259),"")</x:f>
      </x:c>
      <x:c r="K259" s="12"/>
      <x:c r="L259" s="12"/>
      <x:c r="M259" s="12"/>
      <x:c r="N259" s="12"/>
    </x:row>
    <x:row r="260">
      <x:c r="A260" s="12"/>
      <x:c r="B260" s="12"/>
      <x:c r="C260" s="12"/>
      <x:c r="D260" s="12"/>
      <x:c r="E260" s="18"/>
      <x:c r="F260" s="12"/>
      <x:c r="G260" s="12"/>
      <x:c r="H260" s="18"/>
      <x:c r="I260" s="18"/>
      <x:c r="J260" s="18" t="str">
        <x:f>IFERROR(IF(OR(E260&lt;=0,I260=""),"",MAX(0,E260-H260)/I260),"")</x:f>
      </x:c>
      <x:c r="K260" s="12"/>
      <x:c r="L260" s="12"/>
      <x:c r="M260" s="12"/>
      <x:c r="N260" s="12"/>
    </x:row>
    <x:row r="261">
      <x:c r="A261" s="12"/>
      <x:c r="B261" s="12"/>
      <x:c r="C261" s="12"/>
      <x:c r="D261" s="12"/>
      <x:c r="E261" s="18"/>
      <x:c r="F261" s="12"/>
      <x:c r="G261" s="12"/>
      <x:c r="H261" s="18"/>
      <x:c r="I261" s="18"/>
      <x:c r="J261" s="18" t="str">
        <x:f>IFERROR(IF(OR(E261&lt;=0,I261=""),"",MAX(0,E261-H261)/I261),"")</x:f>
      </x:c>
      <x:c r="K261" s="12"/>
      <x:c r="L261" s="12"/>
      <x:c r="M261" s="12"/>
      <x:c r="N261" s="12"/>
    </x:row>
    <x:row r="262">
      <x:c r="A262" s="12"/>
      <x:c r="B262" s="12"/>
      <x:c r="C262" s="12"/>
      <x:c r="D262" s="12"/>
      <x:c r="E262" s="18"/>
      <x:c r="F262" s="12"/>
      <x:c r="G262" s="12"/>
      <x:c r="H262" s="18"/>
      <x:c r="I262" s="18"/>
      <x:c r="J262" s="18" t="str">
        <x:f>IFERROR(IF(OR(E262&lt;=0,I262=""),"",MAX(0,E262-H262)/I262),"")</x:f>
      </x:c>
      <x:c r="K262" s="12"/>
      <x:c r="L262" s="12"/>
      <x:c r="M262" s="12"/>
      <x:c r="N262" s="12"/>
    </x:row>
    <x:row r="263">
      <x:c r="A263" s="12"/>
      <x:c r="B263" s="12"/>
      <x:c r="C263" s="12"/>
      <x:c r="D263" s="12"/>
      <x:c r="E263" s="18"/>
      <x:c r="F263" s="12"/>
      <x:c r="G263" s="12"/>
      <x:c r="H263" s="18"/>
      <x:c r="I263" s="18"/>
      <x:c r="J263" s="18" t="str">
        <x:f>IFERROR(IF(OR(E263&lt;=0,I263=""),"",MAX(0,E263-H263)/I263),"")</x:f>
      </x:c>
      <x:c r="K263" s="12"/>
      <x:c r="L263" s="12"/>
      <x:c r="M263" s="12"/>
      <x:c r="N263" s="12"/>
    </x:row>
    <x:row r="264">
      <x:c r="A264" s="12"/>
      <x:c r="B264" s="12"/>
      <x:c r="C264" s="12"/>
      <x:c r="D264" s="12"/>
      <x:c r="E264" s="18"/>
      <x:c r="F264" s="12"/>
      <x:c r="G264" s="12"/>
      <x:c r="H264" s="18"/>
      <x:c r="I264" s="18"/>
      <x:c r="J264" s="18" t="str">
        <x:f>IFERROR(IF(OR(E264&lt;=0,I264=""),"",MAX(0,E264-H264)/I264),"")</x:f>
      </x:c>
      <x:c r="K264" s="12"/>
      <x:c r="L264" s="12"/>
      <x:c r="M264" s="12"/>
      <x:c r="N264" s="12"/>
    </x:row>
    <x:row r="265">
      <x:c r="A265" s="12"/>
      <x:c r="B265" s="12"/>
      <x:c r="C265" s="12"/>
      <x:c r="D265" s="12"/>
      <x:c r="E265" s="18"/>
      <x:c r="F265" s="12"/>
      <x:c r="G265" s="12"/>
      <x:c r="H265" s="18"/>
      <x:c r="I265" s="18"/>
      <x:c r="J265" s="18" t="str">
        <x:f>IFERROR(IF(OR(E265&lt;=0,I265=""),"",MAX(0,E265-H265)/I265),"")</x:f>
      </x:c>
      <x:c r="K265" s="12"/>
      <x:c r="L265" s="12"/>
      <x:c r="M265" s="12"/>
      <x:c r="N265" s="12"/>
    </x:row>
    <x:row r="266">
      <x:c r="A266" s="12"/>
      <x:c r="B266" s="12"/>
      <x:c r="C266" s="12"/>
      <x:c r="D266" s="12"/>
      <x:c r="E266" s="18"/>
      <x:c r="F266" s="12"/>
      <x:c r="G266" s="12"/>
      <x:c r="H266" s="18"/>
      <x:c r="I266" s="18"/>
      <x:c r="J266" s="18" t="str">
        <x:f>IFERROR(IF(OR(E266&lt;=0,I266=""),"",MAX(0,E266-H266)/I266),"")</x:f>
      </x:c>
      <x:c r="K266" s="12"/>
      <x:c r="L266" s="12"/>
      <x:c r="M266" s="12"/>
      <x:c r="N266" s="12"/>
    </x:row>
    <x:row r="267">
      <x:c r="A267" s="12"/>
      <x:c r="B267" s="12"/>
      <x:c r="C267" s="12"/>
      <x:c r="D267" s="12"/>
      <x:c r="E267" s="18"/>
      <x:c r="F267" s="12"/>
      <x:c r="G267" s="12"/>
      <x:c r="H267" s="18"/>
      <x:c r="I267" s="18"/>
      <x:c r="J267" s="18" t="str">
        <x:f>IFERROR(IF(OR(E267&lt;=0,I267=""),"",MAX(0,E267-H267)/I267),"")</x:f>
      </x:c>
      <x:c r="K267" s="12"/>
      <x:c r="L267" s="12"/>
      <x:c r="M267" s="12"/>
      <x:c r="N267" s="12"/>
    </x:row>
    <x:row r="268">
      <x:c r="A268" s="12"/>
      <x:c r="B268" s="12"/>
      <x:c r="C268" s="12"/>
      <x:c r="D268" s="12"/>
      <x:c r="E268" s="18"/>
      <x:c r="F268" s="12"/>
      <x:c r="G268" s="12"/>
      <x:c r="H268" s="18"/>
      <x:c r="I268" s="18"/>
      <x:c r="J268" s="18" t="str">
        <x:f>IFERROR(IF(OR(E268&lt;=0,I268=""),"",MAX(0,E268-H268)/I268),"")</x:f>
      </x:c>
      <x:c r="K268" s="12"/>
      <x:c r="L268" s="12"/>
      <x:c r="M268" s="12"/>
      <x:c r="N268" s="12"/>
    </x:row>
    <x:row r="269">
      <x:c r="A269" s="12"/>
      <x:c r="B269" s="12"/>
      <x:c r="C269" s="12"/>
      <x:c r="D269" s="12"/>
      <x:c r="E269" s="18"/>
      <x:c r="F269" s="12"/>
      <x:c r="G269" s="12"/>
      <x:c r="H269" s="18"/>
      <x:c r="I269" s="18"/>
      <x:c r="J269" s="18" t="str">
        <x:f>IFERROR(IF(OR(E269&lt;=0,I269=""),"",MAX(0,E269-H269)/I269),"")</x:f>
      </x:c>
      <x:c r="K269" s="12"/>
      <x:c r="L269" s="12"/>
      <x:c r="M269" s="12"/>
      <x:c r="N269" s="12"/>
    </x:row>
    <x:row r="270">
      <x:c r="A270" s="12"/>
      <x:c r="B270" s="12"/>
      <x:c r="C270" s="12"/>
      <x:c r="D270" s="12"/>
      <x:c r="E270" s="18"/>
      <x:c r="F270" s="12"/>
      <x:c r="G270" s="12"/>
      <x:c r="H270" s="18"/>
      <x:c r="I270" s="18"/>
      <x:c r="J270" s="18" t="str">
        <x:f>IFERROR(IF(OR(E270&lt;=0,I270=""),"",MAX(0,E270-H270)/I270),"")</x:f>
      </x:c>
      <x:c r="K270" s="12"/>
      <x:c r="L270" s="12"/>
      <x:c r="M270" s="12"/>
      <x:c r="N270" s="12"/>
    </x:row>
    <x:row r="271">
      <x:c r="A271" s="12"/>
      <x:c r="B271" s="12"/>
      <x:c r="C271" s="12"/>
      <x:c r="D271" s="12"/>
      <x:c r="E271" s="18"/>
      <x:c r="F271" s="12"/>
      <x:c r="G271" s="12"/>
      <x:c r="H271" s="18"/>
      <x:c r="I271" s="18"/>
      <x:c r="J271" s="18" t="str">
        <x:f>IFERROR(IF(OR(E271&lt;=0,I271=""),"",MAX(0,E271-H271)/I271),"")</x:f>
      </x:c>
      <x:c r="K271" s="12"/>
      <x:c r="L271" s="12"/>
      <x:c r="M271" s="12"/>
      <x:c r="N271" s="12"/>
    </x:row>
    <x:row r="272">
      <x:c r="A272" s="12"/>
      <x:c r="B272" s="12"/>
      <x:c r="C272" s="12"/>
      <x:c r="D272" s="12"/>
      <x:c r="E272" s="18"/>
      <x:c r="F272" s="12"/>
      <x:c r="G272" s="12"/>
      <x:c r="H272" s="18"/>
      <x:c r="I272" s="18"/>
      <x:c r="J272" s="18" t="str">
        <x:f>IFERROR(IF(OR(E272&lt;=0,I272=""),"",MAX(0,E272-H272)/I272),"")</x:f>
      </x:c>
      <x:c r="K272" s="12"/>
      <x:c r="L272" s="12"/>
      <x:c r="M272" s="12"/>
      <x:c r="N272" s="12"/>
    </x:row>
    <x:row r="273">
      <x:c r="A273" s="12"/>
      <x:c r="B273" s="12"/>
      <x:c r="C273" s="12"/>
      <x:c r="D273" s="12"/>
      <x:c r="E273" s="18"/>
      <x:c r="F273" s="12"/>
      <x:c r="G273" s="12"/>
      <x:c r="H273" s="18"/>
      <x:c r="I273" s="18"/>
      <x:c r="J273" s="18" t="str">
        <x:f>IFERROR(IF(OR(E273&lt;=0,I273=""),"",MAX(0,E273-H273)/I273),"")</x:f>
      </x:c>
      <x:c r="K273" s="12"/>
      <x:c r="L273" s="12"/>
      <x:c r="M273" s="12"/>
      <x:c r="N273" s="12"/>
    </x:row>
    <x:row r="274">
      <x:c r="A274" s="12"/>
      <x:c r="B274" s="12"/>
      <x:c r="C274" s="12"/>
      <x:c r="D274" s="12"/>
      <x:c r="E274" s="18"/>
      <x:c r="F274" s="12"/>
      <x:c r="G274" s="12"/>
      <x:c r="H274" s="18"/>
      <x:c r="I274" s="18"/>
      <x:c r="J274" s="18" t="str">
        <x:f>IFERROR(IF(OR(E274&lt;=0,I274=""),"",MAX(0,E274-H274)/I274),"")</x:f>
      </x:c>
      <x:c r="K274" s="12"/>
      <x:c r="L274" s="12"/>
      <x:c r="M274" s="12"/>
      <x:c r="N274" s="12"/>
    </x:row>
    <x:row r="275">
      <x:c r="A275" s="12"/>
      <x:c r="B275" s="12"/>
      <x:c r="C275" s="12"/>
      <x:c r="D275" s="12"/>
      <x:c r="E275" s="18"/>
      <x:c r="F275" s="12"/>
      <x:c r="G275" s="12"/>
      <x:c r="H275" s="18"/>
      <x:c r="I275" s="18"/>
      <x:c r="J275" s="18" t="str">
        <x:f>IFERROR(IF(OR(E275&lt;=0,I275=""),"",MAX(0,E275-H275)/I275),"")</x:f>
      </x:c>
      <x:c r="K275" s="12"/>
      <x:c r="L275" s="12"/>
      <x:c r="M275" s="12"/>
      <x:c r="N275" s="12"/>
    </x:row>
    <x:row r="276">
      <x:c r="A276" s="12"/>
      <x:c r="B276" s="12"/>
      <x:c r="C276" s="12"/>
      <x:c r="D276" s="12"/>
      <x:c r="E276" s="18"/>
      <x:c r="F276" s="12"/>
      <x:c r="G276" s="12"/>
      <x:c r="H276" s="18"/>
      <x:c r="I276" s="18"/>
      <x:c r="J276" s="18" t="str">
        <x:f>IFERROR(IF(OR(E276&lt;=0,I276=""),"",MAX(0,E276-H276)/I276),"")</x:f>
      </x:c>
      <x:c r="K276" s="12"/>
      <x:c r="L276" s="12"/>
      <x:c r="M276" s="12"/>
      <x:c r="N276" s="12"/>
    </x:row>
    <x:row r="277">
      <x:c r="A277" s="12"/>
      <x:c r="B277" s="12"/>
      <x:c r="C277" s="12"/>
      <x:c r="D277" s="12"/>
      <x:c r="E277" s="18"/>
      <x:c r="F277" s="12"/>
      <x:c r="G277" s="12"/>
      <x:c r="H277" s="18"/>
      <x:c r="I277" s="18"/>
      <x:c r="J277" s="18" t="str">
        <x:f>IFERROR(IF(OR(E277&lt;=0,I277=""),"",MAX(0,E277-H277)/I277),"")</x:f>
      </x:c>
      <x:c r="K277" s="12"/>
      <x:c r="L277" s="12"/>
      <x:c r="M277" s="12"/>
      <x:c r="N277" s="12"/>
    </x:row>
    <x:row r="278">
      <x:c r="A278" s="12"/>
      <x:c r="B278" s="12"/>
      <x:c r="C278" s="12"/>
      <x:c r="D278" s="12"/>
      <x:c r="E278" s="18"/>
      <x:c r="F278" s="12"/>
      <x:c r="G278" s="12"/>
      <x:c r="H278" s="18"/>
      <x:c r="I278" s="18"/>
      <x:c r="J278" s="18" t="str">
        <x:f>IFERROR(IF(OR(E278&lt;=0,I278=""),"",MAX(0,E278-H278)/I278),"")</x:f>
      </x:c>
      <x:c r="K278" s="12"/>
      <x:c r="L278" s="12"/>
      <x:c r="M278" s="12"/>
      <x:c r="N278" s="12"/>
    </x:row>
    <x:row r="279">
      <x:c r="A279" s="12"/>
      <x:c r="B279" s="12"/>
      <x:c r="C279" s="12"/>
      <x:c r="D279" s="12"/>
      <x:c r="E279" s="18"/>
      <x:c r="F279" s="12"/>
      <x:c r="G279" s="12"/>
      <x:c r="H279" s="18"/>
      <x:c r="I279" s="18"/>
      <x:c r="J279" s="18" t="str">
        <x:f>IFERROR(IF(OR(E279&lt;=0,I279=""),"",MAX(0,E279-H279)/I279),"")</x:f>
      </x:c>
      <x:c r="K279" s="12"/>
      <x:c r="L279" s="12"/>
      <x:c r="M279" s="12"/>
      <x:c r="N279" s="12"/>
    </x:row>
    <x:row r="280">
      <x:c r="A280" s="12"/>
      <x:c r="B280" s="12"/>
      <x:c r="C280" s="12"/>
      <x:c r="D280" s="12"/>
      <x:c r="E280" s="18"/>
      <x:c r="F280" s="12"/>
      <x:c r="G280" s="12"/>
      <x:c r="H280" s="18"/>
      <x:c r="I280" s="18"/>
      <x:c r="J280" s="18" t="str">
        <x:f>IFERROR(IF(OR(E280&lt;=0,I280=""),"",MAX(0,E280-H280)/I280),"")</x:f>
      </x:c>
      <x:c r="K280" s="12"/>
      <x:c r="L280" s="12"/>
      <x:c r="M280" s="12"/>
      <x:c r="N280" s="12"/>
    </x:row>
    <x:row r="281">
      <x:c r="A281" s="12"/>
      <x:c r="B281" s="12"/>
      <x:c r="C281" s="12"/>
      <x:c r="D281" s="12"/>
      <x:c r="E281" s="18"/>
      <x:c r="F281" s="12"/>
      <x:c r="G281" s="12"/>
      <x:c r="H281" s="18"/>
      <x:c r="I281" s="18"/>
      <x:c r="J281" s="18" t="str">
        <x:f>IFERROR(IF(OR(E281&lt;=0,I281=""),"",MAX(0,E281-H281)/I281),"")</x:f>
      </x:c>
      <x:c r="K281" s="12"/>
      <x:c r="L281" s="12"/>
      <x:c r="M281" s="12"/>
      <x:c r="N281" s="12"/>
    </x:row>
    <x:row r="282">
      <x:c r="A282" s="12"/>
      <x:c r="B282" s="12"/>
      <x:c r="C282" s="12"/>
      <x:c r="D282" s="12"/>
      <x:c r="E282" s="18"/>
      <x:c r="F282" s="12"/>
      <x:c r="G282" s="12"/>
      <x:c r="H282" s="18"/>
      <x:c r="I282" s="18"/>
      <x:c r="J282" s="18" t="str">
        <x:f>IFERROR(IF(OR(E282&lt;=0,I282=""),"",MAX(0,E282-H282)/I282),"")</x:f>
      </x:c>
      <x:c r="K282" s="12"/>
      <x:c r="L282" s="12"/>
      <x:c r="M282" s="12"/>
      <x:c r="N282" s="12"/>
    </x:row>
    <x:row r="283">
      <x:c r="A283" s="12"/>
      <x:c r="B283" s="12"/>
      <x:c r="C283" s="12"/>
      <x:c r="D283" s="12"/>
      <x:c r="E283" s="18"/>
      <x:c r="F283" s="12"/>
      <x:c r="G283" s="12"/>
      <x:c r="H283" s="18"/>
      <x:c r="I283" s="18"/>
      <x:c r="J283" s="18" t="str">
        <x:f>IFERROR(IF(OR(E283&lt;=0,I283=""),"",MAX(0,E283-H283)/I283),"")</x:f>
      </x:c>
      <x:c r="K283" s="12"/>
      <x:c r="L283" s="12"/>
      <x:c r="M283" s="12"/>
      <x:c r="N283" s="12"/>
    </x:row>
    <x:row r="284">
      <x:c r="A284" s="12"/>
      <x:c r="B284" s="12"/>
      <x:c r="C284" s="12"/>
      <x:c r="D284" s="12"/>
      <x:c r="E284" s="18"/>
      <x:c r="F284" s="12"/>
      <x:c r="G284" s="12"/>
      <x:c r="H284" s="18"/>
      <x:c r="I284" s="18"/>
      <x:c r="J284" s="18" t="str">
        <x:f>IFERROR(IF(OR(E284&lt;=0,I284=""),"",MAX(0,E284-H284)/I284),"")</x:f>
      </x:c>
      <x:c r="K284" s="12"/>
      <x:c r="L284" s="12"/>
      <x:c r="M284" s="12"/>
      <x:c r="N284" s="12"/>
    </x:row>
    <x:row r="285">
      <x:c r="A285" s="12"/>
      <x:c r="B285" s="12"/>
      <x:c r="C285" s="12"/>
      <x:c r="D285" s="12"/>
      <x:c r="E285" s="18"/>
      <x:c r="F285" s="12"/>
      <x:c r="G285" s="12"/>
      <x:c r="H285" s="18"/>
      <x:c r="I285" s="18"/>
      <x:c r="J285" s="18" t="str">
        <x:f>IFERROR(IF(OR(E285&lt;=0,I285=""),"",MAX(0,E285-H285)/I285),"")</x:f>
      </x:c>
      <x:c r="K285" s="12"/>
      <x:c r="L285" s="12"/>
      <x:c r="M285" s="12"/>
      <x:c r="N285" s="12"/>
    </x:row>
    <x:row r="286">
      <x:c r="A286" s="12"/>
      <x:c r="B286" s="12"/>
      <x:c r="C286" s="12"/>
      <x:c r="D286" s="12"/>
      <x:c r="E286" s="18"/>
      <x:c r="F286" s="12"/>
      <x:c r="G286" s="12"/>
      <x:c r="H286" s="18"/>
      <x:c r="I286" s="18"/>
      <x:c r="J286" s="18" t="str">
        <x:f>IFERROR(IF(OR(E286&lt;=0,I286=""),"",MAX(0,E286-H286)/I286),"")</x:f>
      </x:c>
      <x:c r="K286" s="12"/>
      <x:c r="L286" s="12"/>
      <x:c r="M286" s="12"/>
      <x:c r="N286" s="12"/>
    </x:row>
    <x:row r="287">
      <x:c r="A287" s="12"/>
      <x:c r="B287" s="12"/>
      <x:c r="C287" s="12"/>
      <x:c r="D287" s="12"/>
      <x:c r="E287" s="18"/>
      <x:c r="F287" s="12"/>
      <x:c r="G287" s="12"/>
      <x:c r="H287" s="18"/>
      <x:c r="I287" s="18"/>
      <x:c r="J287" s="18" t="str">
        <x:f>IFERROR(IF(OR(E287&lt;=0,I287=""),"",MAX(0,E287-H287)/I287),"")</x:f>
      </x:c>
      <x:c r="K287" s="12"/>
      <x:c r="L287" s="12"/>
      <x:c r="M287" s="12"/>
      <x:c r="N287" s="12"/>
    </x:row>
    <x:row r="288">
      <x:c r="A288" s="12"/>
      <x:c r="B288" s="12"/>
      <x:c r="C288" s="12"/>
      <x:c r="D288" s="12"/>
      <x:c r="E288" s="18"/>
      <x:c r="F288" s="12"/>
      <x:c r="G288" s="12"/>
      <x:c r="H288" s="18"/>
      <x:c r="I288" s="18"/>
      <x:c r="J288" s="18" t="str">
        <x:f>IFERROR(IF(OR(E288&lt;=0,I288=""),"",MAX(0,E288-H288)/I288),"")</x:f>
      </x:c>
      <x:c r="K288" s="12"/>
      <x:c r="L288" s="12"/>
      <x:c r="M288" s="12"/>
      <x:c r="N288" s="12"/>
    </x:row>
    <x:row r="289">
      <x:c r="A289" s="12"/>
      <x:c r="B289" s="12"/>
      <x:c r="C289" s="12"/>
      <x:c r="D289" s="12"/>
      <x:c r="E289" s="18"/>
      <x:c r="F289" s="12"/>
      <x:c r="G289" s="12"/>
      <x:c r="H289" s="18"/>
      <x:c r="I289" s="18"/>
      <x:c r="J289" s="18" t="str">
        <x:f>IFERROR(IF(OR(E289&lt;=0,I289=""),"",MAX(0,E289-H289)/I289),"")</x:f>
      </x:c>
      <x:c r="K289" s="12"/>
      <x:c r="L289" s="12"/>
      <x:c r="M289" s="12"/>
      <x:c r="N289" s="12"/>
    </x:row>
    <x:row r="290">
      <x:c r="A290" s="12"/>
      <x:c r="B290" s="12"/>
      <x:c r="C290" s="12"/>
      <x:c r="D290" s="12"/>
      <x:c r="E290" s="18"/>
      <x:c r="F290" s="12"/>
      <x:c r="G290" s="12"/>
      <x:c r="H290" s="18"/>
      <x:c r="I290" s="18"/>
      <x:c r="J290" s="18" t="str">
        <x:f>IFERROR(IF(OR(E290&lt;=0,I290=""),"",MAX(0,E290-H290)/I290),"")</x:f>
      </x:c>
      <x:c r="K290" s="12"/>
      <x:c r="L290" s="12"/>
      <x:c r="M290" s="12"/>
      <x:c r="N290" s="12"/>
    </x:row>
    <x:row r="291">
      <x:c r="A291" s="12"/>
      <x:c r="B291" s="12"/>
      <x:c r="C291" s="12"/>
      <x:c r="D291" s="12"/>
      <x:c r="E291" s="18"/>
      <x:c r="F291" s="12"/>
      <x:c r="G291" s="12"/>
      <x:c r="H291" s="18"/>
      <x:c r="I291" s="18"/>
      <x:c r="J291" s="18" t="str">
        <x:f>IFERROR(IF(OR(E291&lt;=0,I291=""),"",MAX(0,E291-H291)/I291),"")</x:f>
      </x:c>
      <x:c r="K291" s="12"/>
      <x:c r="L291" s="12"/>
      <x:c r="M291" s="12"/>
      <x:c r="N291" s="12"/>
    </x:row>
    <x:row r="292">
      <x:c r="A292" s="12"/>
      <x:c r="B292" s="12"/>
      <x:c r="C292" s="12"/>
      <x:c r="D292" s="12"/>
      <x:c r="E292" s="18"/>
      <x:c r="F292" s="12"/>
      <x:c r="G292" s="12"/>
      <x:c r="H292" s="18"/>
      <x:c r="I292" s="18"/>
      <x:c r="J292" s="18" t="str">
        <x:f>IFERROR(IF(OR(E292&lt;=0,I292=""),"",MAX(0,E292-H292)/I292),"")</x:f>
      </x:c>
      <x:c r="K292" s="12"/>
      <x:c r="L292" s="12"/>
      <x:c r="M292" s="12"/>
      <x:c r="N292" s="12"/>
    </x:row>
    <x:row r="293">
      <x:c r="A293" s="12"/>
      <x:c r="B293" s="12"/>
      <x:c r="C293" s="12"/>
      <x:c r="D293" s="12"/>
      <x:c r="E293" s="18"/>
      <x:c r="F293" s="12"/>
      <x:c r="G293" s="12"/>
      <x:c r="H293" s="18"/>
      <x:c r="I293" s="18"/>
      <x:c r="J293" s="18" t="str">
        <x:f>IFERROR(IF(OR(E293&lt;=0,I293=""),"",MAX(0,E293-H293)/I293),"")</x:f>
      </x:c>
      <x:c r="K293" s="12"/>
      <x:c r="L293" s="12"/>
      <x:c r="M293" s="12"/>
      <x:c r="N293" s="12"/>
    </x:row>
    <x:row r="294">
      <x:c r="A294" s="12"/>
      <x:c r="B294" s="12"/>
      <x:c r="C294" s="12"/>
      <x:c r="D294" s="12"/>
      <x:c r="E294" s="18"/>
      <x:c r="F294" s="12"/>
      <x:c r="G294" s="12"/>
      <x:c r="H294" s="18"/>
      <x:c r="I294" s="18"/>
      <x:c r="J294" s="18" t="str">
        <x:f>IFERROR(IF(OR(E294&lt;=0,I294=""),"",MAX(0,E294-H294)/I294),"")</x:f>
      </x:c>
      <x:c r="K294" s="12"/>
      <x:c r="L294" s="12"/>
      <x:c r="M294" s="12"/>
      <x:c r="N294" s="12"/>
    </x:row>
    <x:row r="295">
      <x:c r="A295" s="12"/>
      <x:c r="B295" s="12"/>
      <x:c r="C295" s="12"/>
      <x:c r="D295" s="12"/>
      <x:c r="E295" s="18"/>
      <x:c r="F295" s="12"/>
      <x:c r="G295" s="12"/>
      <x:c r="H295" s="18"/>
      <x:c r="I295" s="18"/>
      <x:c r="J295" s="18" t="str">
        <x:f>IFERROR(IF(OR(E295&lt;=0,I295=""),"",MAX(0,E295-H295)/I295),"")</x:f>
      </x:c>
      <x:c r="K295" s="12"/>
      <x:c r="L295" s="12"/>
      <x:c r="M295" s="12"/>
      <x:c r="N295" s="12"/>
    </x:row>
    <x:row r="296">
      <x:c r="A296" s="12"/>
      <x:c r="B296" s="12"/>
      <x:c r="C296" s="12"/>
      <x:c r="D296" s="12"/>
      <x:c r="E296" s="18"/>
      <x:c r="F296" s="12"/>
      <x:c r="G296" s="12"/>
      <x:c r="H296" s="18"/>
      <x:c r="I296" s="18"/>
      <x:c r="J296" s="18" t="str">
        <x:f>IFERROR(IF(OR(E296&lt;=0,I296=""),"",MAX(0,E296-H296)/I296),"")</x:f>
      </x:c>
      <x:c r="K296" s="12"/>
      <x:c r="L296" s="12"/>
      <x:c r="M296" s="12"/>
      <x:c r="N296" s="12"/>
    </x:row>
    <x:row r="297">
      <x:c r="A297" s="12"/>
      <x:c r="B297" s="12"/>
      <x:c r="C297" s="12"/>
      <x:c r="D297" s="12"/>
      <x:c r="E297" s="18"/>
      <x:c r="F297" s="12"/>
      <x:c r="G297" s="12"/>
      <x:c r="H297" s="18"/>
      <x:c r="I297" s="18"/>
      <x:c r="J297" s="18" t="str">
        <x:f>IFERROR(IF(OR(E297&lt;=0,I297=""),"",MAX(0,E297-H297)/I297),"")</x:f>
      </x:c>
      <x:c r="K297" s="12"/>
      <x:c r="L297" s="12"/>
      <x:c r="M297" s="12"/>
      <x:c r="N297" s="12"/>
    </x:row>
    <x:row r="298">
      <x:c r="A298" s="12"/>
      <x:c r="B298" s="12"/>
      <x:c r="C298" s="12"/>
      <x:c r="D298" s="12"/>
      <x:c r="E298" s="18"/>
      <x:c r="F298" s="12"/>
      <x:c r="G298" s="12"/>
      <x:c r="H298" s="18"/>
      <x:c r="I298" s="18"/>
      <x:c r="J298" s="18" t="str">
        <x:f>IFERROR(IF(OR(E298&lt;=0,I298=""),"",MAX(0,E298-H298)/I298),"")</x:f>
      </x:c>
      <x:c r="K298" s="12"/>
      <x:c r="L298" s="12"/>
      <x:c r="M298" s="12"/>
      <x:c r="N298" s="12"/>
    </x:row>
    <x:row r="299">
      <x:c r="A299" s="12"/>
      <x:c r="B299" s="12"/>
      <x:c r="C299" s="12"/>
      <x:c r="D299" s="12"/>
      <x:c r="E299" s="18"/>
      <x:c r="F299" s="12"/>
      <x:c r="G299" s="12"/>
      <x:c r="H299" s="18"/>
      <x:c r="I299" s="18"/>
      <x:c r="J299" s="18" t="str">
        <x:f>IFERROR(IF(OR(E299&lt;=0,I299=""),"",MAX(0,E299-H299)/I299),"")</x:f>
      </x:c>
      <x:c r="K299" s="12"/>
      <x:c r="L299" s="12"/>
      <x:c r="M299" s="12"/>
      <x:c r="N299" s="12"/>
    </x:row>
    <x:row r="300">
      <x:c r="A300" s="12"/>
      <x:c r="B300" s="12"/>
      <x:c r="C300" s="12"/>
      <x:c r="D300" s="12"/>
      <x:c r="E300" s="18"/>
      <x:c r="F300" s="12"/>
      <x:c r="G300" s="12"/>
      <x:c r="H300" s="18"/>
      <x:c r="I300" s="18"/>
      <x:c r="J300" s="18" t="str">
        <x:f>IFERROR(IF(OR(E300&lt;=0,I300=""),"",MAX(0,E300-H300)/I300),"")</x:f>
      </x:c>
      <x:c r="K300" s="12"/>
      <x:c r="L300" s="12"/>
      <x:c r="M300" s="12"/>
      <x:c r="N300" s="12"/>
    </x:row>
  </x:sheetData>
  <x:dataValidations count="2">
    <x:dataValidation type="list" sqref="G2:G300">
      <x:formula1>"Alta,Media,Baja"</x:formula1>
    </x:dataValidation>
    <x:dataValidation type="list" sqref="K2:K300">
      <x:formula1>"Activo,Pausado,Completado"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ec3ca55a3843b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18" hidden="0" customWidth="1"/>
    <x:col min="4" max="4" width="18" hidden="0" customWidth="1"/>
    <x:col min="5" max="5" width="16" hidden="0" customWidth="1"/>
    <x:col min="6" max="6" width="22" hidden="0" customWidth="1"/>
    <x:col min="7" max="7" width="22" hidden="0" customWidth="1"/>
    <x:col min="8" max="8" width="10" hidden="0" customWidth="1"/>
    <x:col min="9" max="9" width="12" hidden="0" customWidth="1"/>
    <x:col min="10" max="10" width="55" hidden="0" customWidth="1"/>
    <x:col min="11" max="11" width="18" hidden="0" customWidth="1"/>
    <x:col min="12" max="12" width="18" hidden="0" customWidth="1"/>
  </x:cols>
  <x:sheetData>
    <x:row r="1">
      <x:c r="A1" s="6" t="str">
        <x:v>reservaId</x:v>
      </x:c>
      <x:c r="B1" s="6" t="str">
        <x:v>nombre</x:v>
      </x:c>
      <x:c r="C1" s="6" t="str">
        <x:v>tipo</x:v>
      </x:c>
      <x:c r="D1" s="6" t="str">
        <x:v>importeObjetivo</x:v>
      </x:c>
      <x:c r="E1" s="6" t="str">
        <x:v>saldoActual</x:v>
      </x:c>
      <x:c r="F1" s="6" t="str">
        <x:v>aporteMensualSugerido</x:v>
      </x:c>
      <x:c r="G1" s="6" t="str">
        <x:v>cuentaFisica</x:v>
      </x:c>
      <x:c r="H1" s="6" t="str">
        <x:v>activo</x:v>
      </x:c>
      <x:c r="I1" s="6" t="str">
        <x:v>prioridad</x:v>
      </x:c>
      <x:c r="J1" s="6" t="str">
        <x:v>notas</x:v>
      </x:c>
      <x:c r="K1" s="6" t="str">
        <x:v>createdAt</x:v>
      </x:c>
      <x:c r="L1" s="6" t="str">
        <x:v>updatedAt</x:v>
      </x:c>
    </x:row>
    <x:row r="2">
      <x:c r="A2" s="12" t="str">
        <x:v>res-imprevistos</x:v>
      </x:c>
      <x:c r="B2" s="12" t="str">
        <x:v>Imprevistos vehículo/moto</x:v>
      </x:c>
      <x:c r="C2" s="12" t="str">
        <x:v>Imprevistos</x:v>
      </x:c>
      <x:c r="D2" s="18" t="n">
        <x:v>600</x:v>
      </x:c>
      <x:c r="E2" s="18" t="n">
        <x:v>0</x:v>
      </x:c>
      <x:c r="F2" s="18" t="n">
        <x:v>75</x:v>
      </x:c>
      <x:c r="G2" s="12" t="str">
        <x:v>Reserva virtual</x:v>
      </x:c>
      <x:c r="H2" s="12" t="str">
        <x:v>Sí</x:v>
      </x:c>
      <x:c r="I2" s="12" t="str">
        <x:v>Alta</x:v>
      </x:c>
      <x:c r="J2" s="12" t="str">
        <x:v>Para gastos no mensuales de coche/moto.</x:v>
      </x:c>
      <x:c r="K2" s="12" t="str"/>
      <x:c r="L2" s="12" t="str"/>
    </x:row>
    <x:row r="3">
      <x:c r="A3" s="12" t="str">
        <x:v>res-seguros</x:v>
      </x:c>
      <x:c r="B3" s="12" t="str">
        <x:v>Seguros y pagos anuales</x:v>
      </x:c>
      <x:c r="C3" s="12" t="str">
        <x:v>Pago futuro</x:v>
      </x:c>
      <x:c r="D3" s="18" t="n">
        <x:v>0</x:v>
      </x:c>
      <x:c r="E3" s="18" t="n">
        <x:v>0</x:v>
      </x:c>
      <x:c r="F3" s="18" t="n">
        <x:v>0</x:v>
      </x:c>
      <x:c r="G3" s="12" t="str">
        <x:v>Reserva virtual</x:v>
      </x:c>
      <x:c r="H3" s="12" t="str">
        <x:v>Sí</x:v>
      </x:c>
      <x:c r="I3" s="12" t="str">
        <x:v>Alta</x:v>
      </x:c>
      <x:c r="J3" s="12" t="str">
        <x:v>Bolsa para seguros, ITV, impuestos o suscripciones anuales.</x:v>
      </x:c>
      <x:c r="K3" s="12" t="str"/>
      <x:c r="L3" s="12" t="str"/>
    </x:row>
    <x:row r="4">
      <x:c r="A4" s="12"/>
      <x:c r="B4" s="12"/>
      <x:c r="C4" s="12"/>
      <x:c r="D4" s="18"/>
      <x:c r="E4" s="18"/>
      <x:c r="F4" s="18"/>
      <x:c r="G4" s="12"/>
      <x:c r="H4" s="12"/>
      <x:c r="I4" s="12"/>
      <x:c r="J4" s="12"/>
      <x:c r="K4" s="12"/>
      <x:c r="L4" s="12"/>
    </x:row>
    <x:row r="5">
      <x:c r="A5" s="12"/>
      <x:c r="B5" s="12"/>
      <x:c r="C5" s="12"/>
      <x:c r="D5" s="18"/>
      <x:c r="E5" s="18"/>
      <x:c r="F5" s="18"/>
      <x:c r="G5" s="12"/>
      <x:c r="H5" s="12"/>
      <x:c r="I5" s="12"/>
      <x:c r="J5" s="12"/>
      <x:c r="K5" s="12"/>
      <x:c r="L5" s="12"/>
    </x:row>
    <x:row r="6">
      <x:c r="A6" s="12"/>
      <x:c r="B6" s="12"/>
      <x:c r="C6" s="12"/>
      <x:c r="D6" s="18"/>
      <x:c r="E6" s="18"/>
      <x:c r="F6" s="18"/>
      <x:c r="G6" s="12"/>
      <x:c r="H6" s="12"/>
      <x:c r="I6" s="12"/>
      <x:c r="J6" s="12"/>
      <x:c r="K6" s="12"/>
      <x:c r="L6" s="12"/>
    </x:row>
    <x:row r="7">
      <x:c r="A7" s="12"/>
      <x:c r="B7" s="12"/>
      <x:c r="C7" s="12"/>
      <x:c r="D7" s="18"/>
      <x:c r="E7" s="18"/>
      <x:c r="F7" s="18"/>
      <x:c r="G7" s="12"/>
      <x:c r="H7" s="12"/>
      <x:c r="I7" s="12"/>
      <x:c r="J7" s="12"/>
      <x:c r="K7" s="12"/>
      <x:c r="L7" s="12"/>
    </x:row>
    <x:row r="8">
      <x:c r="A8" s="12"/>
      <x:c r="B8" s="12"/>
      <x:c r="C8" s="12"/>
      <x:c r="D8" s="18"/>
      <x:c r="E8" s="18"/>
      <x:c r="F8" s="18"/>
      <x:c r="G8" s="12"/>
      <x:c r="H8" s="12"/>
      <x:c r="I8" s="12"/>
      <x:c r="J8" s="12"/>
      <x:c r="K8" s="12"/>
      <x:c r="L8" s="12"/>
    </x:row>
    <x:row r="9">
      <x:c r="A9" s="12"/>
      <x:c r="B9" s="12"/>
      <x:c r="C9" s="12"/>
      <x:c r="D9" s="18"/>
      <x:c r="E9" s="18"/>
      <x:c r="F9" s="18"/>
      <x:c r="G9" s="12"/>
      <x:c r="H9" s="12"/>
      <x:c r="I9" s="12"/>
      <x:c r="J9" s="12"/>
      <x:c r="K9" s="12"/>
      <x:c r="L9" s="12"/>
    </x:row>
    <x:row r="10">
      <x:c r="A10" s="12"/>
      <x:c r="B10" s="12"/>
      <x:c r="C10" s="12"/>
      <x:c r="D10" s="18"/>
      <x:c r="E10" s="18"/>
      <x:c r="F10" s="18"/>
      <x:c r="G10" s="12"/>
      <x:c r="H10" s="12"/>
      <x:c r="I10" s="12"/>
      <x:c r="J10" s="12"/>
      <x:c r="K10" s="12"/>
      <x:c r="L10" s="12"/>
    </x:row>
    <x:row r="11">
      <x:c r="A11" s="12"/>
      <x:c r="B11" s="12"/>
      <x:c r="C11" s="12"/>
      <x:c r="D11" s="18"/>
      <x:c r="E11" s="18"/>
      <x:c r="F11" s="18"/>
      <x:c r="G11" s="12"/>
      <x:c r="H11" s="12"/>
      <x:c r="I11" s="12"/>
      <x:c r="J11" s="12"/>
      <x:c r="K11" s="12"/>
      <x:c r="L11" s="12"/>
    </x:row>
    <x:row r="12">
      <x:c r="A12" s="12"/>
      <x:c r="B12" s="12"/>
      <x:c r="C12" s="12"/>
      <x:c r="D12" s="18"/>
      <x:c r="E12" s="18"/>
      <x:c r="F12" s="18"/>
      <x:c r="G12" s="12"/>
      <x:c r="H12" s="12"/>
      <x:c r="I12" s="12"/>
      <x:c r="J12" s="12"/>
      <x:c r="K12" s="12"/>
      <x:c r="L12" s="12"/>
    </x:row>
    <x:row r="13">
      <x:c r="A13" s="12"/>
      <x:c r="B13" s="12"/>
      <x:c r="C13" s="12"/>
      <x:c r="D13" s="18"/>
      <x:c r="E13" s="18"/>
      <x:c r="F13" s="18"/>
      <x:c r="G13" s="12"/>
      <x:c r="H13" s="12"/>
      <x:c r="I13" s="12"/>
      <x:c r="J13" s="12"/>
      <x:c r="K13" s="12"/>
      <x:c r="L13" s="12"/>
    </x:row>
    <x:row r="14">
      <x:c r="A14" s="12"/>
      <x:c r="B14" s="12"/>
      <x:c r="C14" s="12"/>
      <x:c r="D14" s="18"/>
      <x:c r="E14" s="18"/>
      <x:c r="F14" s="18"/>
      <x:c r="G14" s="12"/>
      <x:c r="H14" s="12"/>
      <x:c r="I14" s="12"/>
      <x:c r="J14" s="12"/>
      <x:c r="K14" s="12"/>
      <x:c r="L14" s="12"/>
    </x:row>
    <x:row r="15">
      <x:c r="A15" s="12"/>
      <x:c r="B15" s="12"/>
      <x:c r="C15" s="12"/>
      <x:c r="D15" s="18"/>
      <x:c r="E15" s="18"/>
      <x:c r="F15" s="18"/>
      <x:c r="G15" s="12"/>
      <x:c r="H15" s="12"/>
      <x:c r="I15" s="12"/>
      <x:c r="J15" s="12"/>
      <x:c r="K15" s="12"/>
      <x:c r="L15" s="12"/>
    </x:row>
    <x:row r="16">
      <x:c r="A16" s="12"/>
      <x:c r="B16" s="12"/>
      <x:c r="C16" s="12"/>
      <x:c r="D16" s="18"/>
      <x:c r="E16" s="18"/>
      <x:c r="F16" s="18"/>
      <x:c r="G16" s="12"/>
      <x:c r="H16" s="12"/>
      <x:c r="I16" s="12"/>
      <x:c r="J16" s="12"/>
      <x:c r="K16" s="12"/>
      <x:c r="L16" s="12"/>
    </x:row>
    <x:row r="17">
      <x:c r="A17" s="12"/>
      <x:c r="B17" s="12"/>
      <x:c r="C17" s="12"/>
      <x:c r="D17" s="18"/>
      <x:c r="E17" s="18"/>
      <x:c r="F17" s="18"/>
      <x:c r="G17" s="12"/>
      <x:c r="H17" s="12"/>
      <x:c r="I17" s="12"/>
      <x:c r="J17" s="12"/>
      <x:c r="K17" s="12"/>
      <x:c r="L17" s="12"/>
    </x:row>
    <x:row r="18">
      <x:c r="A18" s="12"/>
      <x:c r="B18" s="12"/>
      <x:c r="C18" s="12"/>
      <x:c r="D18" s="18"/>
      <x:c r="E18" s="18"/>
      <x:c r="F18" s="18"/>
      <x:c r="G18" s="12"/>
      <x:c r="H18" s="12"/>
      <x:c r="I18" s="12"/>
      <x:c r="J18" s="12"/>
      <x:c r="K18" s="12"/>
      <x:c r="L18" s="12"/>
    </x:row>
    <x:row r="19">
      <x:c r="A19" s="12"/>
      <x:c r="B19" s="12"/>
      <x:c r="C19" s="12"/>
      <x:c r="D19" s="18"/>
      <x:c r="E19" s="18"/>
      <x:c r="F19" s="18"/>
      <x:c r="G19" s="12"/>
      <x:c r="H19" s="12"/>
      <x:c r="I19" s="12"/>
      <x:c r="J19" s="12"/>
      <x:c r="K19" s="12"/>
      <x:c r="L19" s="12"/>
    </x:row>
    <x:row r="20">
      <x:c r="A20" s="12"/>
      <x:c r="B20" s="12"/>
      <x:c r="C20" s="12"/>
      <x:c r="D20" s="18"/>
      <x:c r="E20" s="18"/>
      <x:c r="F20" s="18"/>
      <x:c r="G20" s="12"/>
      <x:c r="H20" s="12"/>
      <x:c r="I20" s="12"/>
      <x:c r="J20" s="12"/>
      <x:c r="K20" s="12"/>
      <x:c r="L20" s="12"/>
    </x:row>
    <x:row r="21">
      <x:c r="A21" s="12"/>
      <x:c r="B21" s="12"/>
      <x:c r="C21" s="12"/>
      <x:c r="D21" s="18"/>
      <x:c r="E21" s="18"/>
      <x:c r="F21" s="18"/>
      <x:c r="G21" s="12"/>
      <x:c r="H21" s="12"/>
      <x:c r="I21" s="12"/>
      <x:c r="J21" s="12"/>
      <x:c r="K21" s="12"/>
      <x:c r="L21" s="12"/>
    </x:row>
    <x:row r="22">
      <x:c r="A22" s="12"/>
      <x:c r="B22" s="12"/>
      <x:c r="C22" s="12"/>
      <x:c r="D22" s="18"/>
      <x:c r="E22" s="18"/>
      <x:c r="F22" s="18"/>
      <x:c r="G22" s="12"/>
      <x:c r="H22" s="12"/>
      <x:c r="I22" s="12"/>
      <x:c r="J22" s="12"/>
      <x:c r="K22" s="12"/>
      <x:c r="L22" s="12"/>
    </x:row>
    <x:row r="23">
      <x:c r="A23" s="12"/>
      <x:c r="B23" s="12"/>
      <x:c r="C23" s="12"/>
      <x:c r="D23" s="18"/>
      <x:c r="E23" s="18"/>
      <x:c r="F23" s="18"/>
      <x:c r="G23" s="12"/>
      <x:c r="H23" s="12"/>
      <x:c r="I23" s="12"/>
      <x:c r="J23" s="12"/>
      <x:c r="K23" s="12"/>
      <x:c r="L23" s="12"/>
    </x:row>
    <x:row r="24">
      <x:c r="A24" s="12"/>
      <x:c r="B24" s="12"/>
      <x:c r="C24" s="12"/>
      <x:c r="D24" s="18"/>
      <x:c r="E24" s="18"/>
      <x:c r="F24" s="18"/>
      <x:c r="G24" s="12"/>
      <x:c r="H24" s="12"/>
      <x:c r="I24" s="12"/>
      <x:c r="J24" s="12"/>
      <x:c r="K24" s="12"/>
      <x:c r="L24" s="12"/>
    </x:row>
    <x:row r="25">
      <x:c r="A25" s="12"/>
      <x:c r="B25" s="12"/>
      <x:c r="C25" s="12"/>
      <x:c r="D25" s="18"/>
      <x:c r="E25" s="18"/>
      <x:c r="F25" s="18"/>
      <x:c r="G25" s="12"/>
      <x:c r="H25" s="12"/>
      <x:c r="I25" s="12"/>
      <x:c r="J25" s="12"/>
      <x:c r="K25" s="12"/>
      <x:c r="L25" s="12"/>
    </x:row>
    <x:row r="26">
      <x:c r="A26" s="12"/>
      <x:c r="B26" s="12"/>
      <x:c r="C26" s="12"/>
      <x:c r="D26" s="18"/>
      <x:c r="E26" s="18"/>
      <x:c r="F26" s="18"/>
      <x:c r="G26" s="12"/>
      <x:c r="H26" s="12"/>
      <x:c r="I26" s="12"/>
      <x:c r="J26" s="12"/>
      <x:c r="K26" s="12"/>
      <x:c r="L26" s="12"/>
    </x:row>
    <x:row r="27">
      <x:c r="A27" s="12"/>
      <x:c r="B27" s="12"/>
      <x:c r="C27" s="12"/>
      <x:c r="D27" s="18"/>
      <x:c r="E27" s="18"/>
      <x:c r="F27" s="18"/>
      <x:c r="G27" s="12"/>
      <x:c r="H27" s="12"/>
      <x:c r="I27" s="12"/>
      <x:c r="J27" s="12"/>
      <x:c r="K27" s="12"/>
      <x:c r="L27" s="12"/>
    </x:row>
    <x:row r="28">
      <x:c r="A28" s="12"/>
      <x:c r="B28" s="12"/>
      <x:c r="C28" s="12"/>
      <x:c r="D28" s="18"/>
      <x:c r="E28" s="18"/>
      <x:c r="F28" s="18"/>
      <x:c r="G28" s="12"/>
      <x:c r="H28" s="12"/>
      <x:c r="I28" s="12"/>
      <x:c r="J28" s="12"/>
      <x:c r="K28" s="12"/>
      <x:c r="L28" s="12"/>
    </x:row>
    <x:row r="29">
      <x:c r="A29" s="12"/>
      <x:c r="B29" s="12"/>
      <x:c r="C29" s="12"/>
      <x:c r="D29" s="18"/>
      <x:c r="E29" s="18"/>
      <x:c r="F29" s="18"/>
      <x:c r="G29" s="12"/>
      <x:c r="H29" s="12"/>
      <x:c r="I29" s="12"/>
      <x:c r="J29" s="12"/>
      <x:c r="K29" s="12"/>
      <x:c r="L29" s="12"/>
    </x:row>
    <x:row r="30">
      <x:c r="A30" s="12"/>
      <x:c r="B30" s="12"/>
      <x:c r="C30" s="12"/>
      <x:c r="D30" s="18"/>
      <x:c r="E30" s="18"/>
      <x:c r="F30" s="18"/>
      <x:c r="G30" s="12"/>
      <x:c r="H30" s="12"/>
      <x:c r="I30" s="12"/>
      <x:c r="J30" s="12"/>
      <x:c r="K30" s="12"/>
      <x:c r="L30" s="12"/>
    </x:row>
    <x:row r="31">
      <x:c r="A31" s="12"/>
      <x:c r="B31" s="12"/>
      <x:c r="C31" s="12"/>
      <x:c r="D31" s="18"/>
      <x:c r="E31" s="18"/>
      <x:c r="F31" s="18"/>
      <x:c r="G31" s="12"/>
      <x:c r="H31" s="12"/>
      <x:c r="I31" s="12"/>
      <x:c r="J31" s="12"/>
      <x:c r="K31" s="12"/>
      <x:c r="L31" s="12"/>
    </x:row>
    <x:row r="32">
      <x:c r="A32" s="12"/>
      <x:c r="B32" s="12"/>
      <x:c r="C32" s="12"/>
      <x:c r="D32" s="18"/>
      <x:c r="E32" s="18"/>
      <x:c r="F32" s="18"/>
      <x:c r="G32" s="12"/>
      <x:c r="H32" s="12"/>
      <x:c r="I32" s="12"/>
      <x:c r="J32" s="12"/>
      <x:c r="K32" s="12"/>
      <x:c r="L32" s="12"/>
    </x:row>
    <x:row r="33">
      <x:c r="A33" s="12"/>
      <x:c r="B33" s="12"/>
      <x:c r="C33" s="12"/>
      <x:c r="D33" s="18"/>
      <x:c r="E33" s="18"/>
      <x:c r="F33" s="18"/>
      <x:c r="G33" s="12"/>
      <x:c r="H33" s="12"/>
      <x:c r="I33" s="12"/>
      <x:c r="J33" s="12"/>
      <x:c r="K33" s="12"/>
      <x:c r="L33" s="12"/>
    </x:row>
    <x:row r="34">
      <x:c r="A34" s="12"/>
      <x:c r="B34" s="12"/>
      <x:c r="C34" s="12"/>
      <x:c r="D34" s="18"/>
      <x:c r="E34" s="18"/>
      <x:c r="F34" s="18"/>
      <x:c r="G34" s="12"/>
      <x:c r="H34" s="12"/>
      <x:c r="I34" s="12"/>
      <x:c r="J34" s="12"/>
      <x:c r="K34" s="12"/>
      <x:c r="L34" s="12"/>
    </x:row>
    <x:row r="35">
      <x:c r="A35" s="12"/>
      <x:c r="B35" s="12"/>
      <x:c r="C35" s="12"/>
      <x:c r="D35" s="18"/>
      <x:c r="E35" s="18"/>
      <x:c r="F35" s="18"/>
      <x:c r="G35" s="12"/>
      <x:c r="H35" s="12"/>
      <x:c r="I35" s="12"/>
      <x:c r="J35" s="12"/>
      <x:c r="K35" s="12"/>
      <x:c r="L35" s="12"/>
    </x:row>
    <x:row r="36">
      <x:c r="A36" s="12"/>
      <x:c r="B36" s="12"/>
      <x:c r="C36" s="12"/>
      <x:c r="D36" s="18"/>
      <x:c r="E36" s="18"/>
      <x:c r="F36" s="18"/>
      <x:c r="G36" s="12"/>
      <x:c r="H36" s="12"/>
      <x:c r="I36" s="12"/>
      <x:c r="J36" s="12"/>
      <x:c r="K36" s="12"/>
      <x:c r="L36" s="12"/>
    </x:row>
    <x:row r="37">
      <x:c r="A37" s="12"/>
      <x:c r="B37" s="12"/>
      <x:c r="C37" s="12"/>
      <x:c r="D37" s="18"/>
      <x:c r="E37" s="18"/>
      <x:c r="F37" s="18"/>
      <x:c r="G37" s="12"/>
      <x:c r="H37" s="12"/>
      <x:c r="I37" s="12"/>
      <x:c r="J37" s="12"/>
      <x:c r="K37" s="12"/>
      <x:c r="L37" s="12"/>
    </x:row>
    <x:row r="38">
      <x:c r="A38" s="12"/>
      <x:c r="B38" s="12"/>
      <x:c r="C38" s="12"/>
      <x:c r="D38" s="18"/>
      <x:c r="E38" s="18"/>
      <x:c r="F38" s="18"/>
      <x:c r="G38" s="12"/>
      <x:c r="H38" s="12"/>
      <x:c r="I38" s="12"/>
      <x:c r="J38" s="12"/>
      <x:c r="K38" s="12"/>
      <x:c r="L38" s="12"/>
    </x:row>
    <x:row r="39">
      <x:c r="A39" s="12"/>
      <x:c r="B39" s="12"/>
      <x:c r="C39" s="12"/>
      <x:c r="D39" s="18"/>
      <x:c r="E39" s="18"/>
      <x:c r="F39" s="18"/>
      <x:c r="G39" s="12"/>
      <x:c r="H39" s="12"/>
      <x:c r="I39" s="12"/>
      <x:c r="J39" s="12"/>
      <x:c r="K39" s="12"/>
      <x:c r="L39" s="12"/>
    </x:row>
    <x:row r="40">
      <x:c r="A40" s="12"/>
      <x:c r="B40" s="12"/>
      <x:c r="C40" s="12"/>
      <x:c r="D40" s="18"/>
      <x:c r="E40" s="18"/>
      <x:c r="F40" s="18"/>
      <x:c r="G40" s="12"/>
      <x:c r="H40" s="12"/>
      <x:c r="I40" s="12"/>
      <x:c r="J40" s="12"/>
      <x:c r="K40" s="12"/>
      <x:c r="L40" s="12"/>
    </x:row>
    <x:row r="41">
      <x:c r="A41" s="12"/>
      <x:c r="B41" s="12"/>
      <x:c r="C41" s="12"/>
      <x:c r="D41" s="18"/>
      <x:c r="E41" s="18"/>
      <x:c r="F41" s="18"/>
      <x:c r="G41" s="12"/>
      <x:c r="H41" s="12"/>
      <x:c r="I41" s="12"/>
      <x:c r="J41" s="12"/>
      <x:c r="K41" s="12"/>
      <x:c r="L41" s="12"/>
    </x:row>
    <x:row r="42">
      <x:c r="A42" s="12"/>
      <x:c r="B42" s="12"/>
      <x:c r="C42" s="12"/>
      <x:c r="D42" s="18"/>
      <x:c r="E42" s="18"/>
      <x:c r="F42" s="18"/>
      <x:c r="G42" s="12"/>
      <x:c r="H42" s="12"/>
      <x:c r="I42" s="12"/>
      <x:c r="J42" s="12"/>
      <x:c r="K42" s="12"/>
      <x:c r="L42" s="12"/>
    </x:row>
    <x:row r="43">
      <x:c r="A43" s="12"/>
      <x:c r="B43" s="12"/>
      <x:c r="C43" s="12"/>
      <x:c r="D43" s="18"/>
      <x:c r="E43" s="18"/>
      <x:c r="F43" s="18"/>
      <x:c r="G43" s="12"/>
      <x:c r="H43" s="12"/>
      <x:c r="I43" s="12"/>
      <x:c r="J43" s="12"/>
      <x:c r="K43" s="12"/>
      <x:c r="L43" s="12"/>
    </x:row>
    <x:row r="44">
      <x:c r="A44" s="12"/>
      <x:c r="B44" s="12"/>
      <x:c r="C44" s="12"/>
      <x:c r="D44" s="18"/>
      <x:c r="E44" s="18"/>
      <x:c r="F44" s="18"/>
      <x:c r="G44" s="12"/>
      <x:c r="H44" s="12"/>
      <x:c r="I44" s="12"/>
      <x:c r="J44" s="12"/>
      <x:c r="K44" s="12"/>
      <x:c r="L44" s="12"/>
    </x:row>
    <x:row r="45">
      <x:c r="A45" s="12"/>
      <x:c r="B45" s="12"/>
      <x:c r="C45" s="12"/>
      <x:c r="D45" s="18"/>
      <x:c r="E45" s="18"/>
      <x:c r="F45" s="18"/>
      <x:c r="G45" s="12"/>
      <x:c r="H45" s="12"/>
      <x:c r="I45" s="12"/>
      <x:c r="J45" s="12"/>
      <x:c r="K45" s="12"/>
      <x:c r="L45" s="12"/>
    </x:row>
    <x:row r="46">
      <x:c r="A46" s="12"/>
      <x:c r="B46" s="12"/>
      <x:c r="C46" s="12"/>
      <x:c r="D46" s="18"/>
      <x:c r="E46" s="18"/>
      <x:c r="F46" s="18"/>
      <x:c r="G46" s="12"/>
      <x:c r="H46" s="12"/>
      <x:c r="I46" s="12"/>
      <x:c r="J46" s="12"/>
      <x:c r="K46" s="12"/>
      <x:c r="L46" s="12"/>
    </x:row>
    <x:row r="47">
      <x:c r="A47" s="12"/>
      <x:c r="B47" s="12"/>
      <x:c r="C47" s="12"/>
      <x:c r="D47" s="18"/>
      <x:c r="E47" s="18"/>
      <x:c r="F47" s="18"/>
      <x:c r="G47" s="12"/>
      <x:c r="H47" s="12"/>
      <x:c r="I47" s="12"/>
      <x:c r="J47" s="12"/>
      <x:c r="K47" s="12"/>
      <x:c r="L47" s="12"/>
    </x:row>
    <x:row r="48">
      <x:c r="A48" s="12"/>
      <x:c r="B48" s="12"/>
      <x:c r="C48" s="12"/>
      <x:c r="D48" s="18"/>
      <x:c r="E48" s="18"/>
      <x:c r="F48" s="18"/>
      <x:c r="G48" s="12"/>
      <x:c r="H48" s="12"/>
      <x:c r="I48" s="12"/>
      <x:c r="J48" s="12"/>
      <x:c r="K48" s="12"/>
      <x:c r="L48" s="12"/>
    </x:row>
    <x:row r="49">
      <x:c r="A49" s="12"/>
      <x:c r="B49" s="12"/>
      <x:c r="C49" s="12"/>
      <x:c r="D49" s="18"/>
      <x:c r="E49" s="18"/>
      <x:c r="F49" s="18"/>
      <x:c r="G49" s="12"/>
      <x:c r="H49" s="12"/>
      <x:c r="I49" s="12"/>
      <x:c r="J49" s="12"/>
      <x:c r="K49" s="12"/>
      <x:c r="L49" s="12"/>
    </x:row>
    <x:row r="50">
      <x:c r="A50" s="12"/>
      <x:c r="B50" s="12"/>
      <x:c r="C50" s="12"/>
      <x:c r="D50" s="18"/>
      <x:c r="E50" s="18"/>
      <x:c r="F50" s="18"/>
      <x:c r="G50" s="12"/>
      <x:c r="H50" s="12"/>
      <x:c r="I50" s="12"/>
      <x:c r="J50" s="12"/>
      <x:c r="K50" s="12"/>
      <x:c r="L50" s="12"/>
    </x:row>
    <x:row r="51">
      <x:c r="A51" s="12"/>
      <x:c r="B51" s="12"/>
      <x:c r="C51" s="12"/>
      <x:c r="D51" s="18"/>
      <x:c r="E51" s="18"/>
      <x:c r="F51" s="18"/>
      <x:c r="G51" s="12"/>
      <x:c r="H51" s="12"/>
      <x:c r="I51" s="12"/>
      <x:c r="J51" s="12"/>
      <x:c r="K51" s="12"/>
      <x:c r="L51" s="12"/>
    </x:row>
    <x:row r="52">
      <x:c r="A52" s="12"/>
      <x:c r="B52" s="12"/>
      <x:c r="C52" s="12"/>
      <x:c r="D52" s="18"/>
      <x:c r="E52" s="18"/>
      <x:c r="F52" s="18"/>
      <x:c r="G52" s="12"/>
      <x:c r="H52" s="12"/>
      <x:c r="I52" s="12"/>
      <x:c r="J52" s="12"/>
      <x:c r="K52" s="12"/>
      <x:c r="L52" s="12"/>
    </x:row>
    <x:row r="53">
      <x:c r="A53" s="12"/>
      <x:c r="B53" s="12"/>
      <x:c r="C53" s="12"/>
      <x:c r="D53" s="18"/>
      <x:c r="E53" s="18"/>
      <x:c r="F53" s="18"/>
      <x:c r="G53" s="12"/>
      <x:c r="H53" s="12"/>
      <x:c r="I53" s="12"/>
      <x:c r="J53" s="12"/>
      <x:c r="K53" s="12"/>
      <x:c r="L53" s="12"/>
    </x:row>
    <x:row r="54">
      <x:c r="A54" s="12"/>
      <x:c r="B54" s="12"/>
      <x:c r="C54" s="12"/>
      <x:c r="D54" s="18"/>
      <x:c r="E54" s="18"/>
      <x:c r="F54" s="18"/>
      <x:c r="G54" s="12"/>
      <x:c r="H54" s="12"/>
      <x:c r="I54" s="12"/>
      <x:c r="J54" s="12"/>
      <x:c r="K54" s="12"/>
      <x:c r="L54" s="12"/>
    </x:row>
    <x:row r="55">
      <x:c r="A55" s="12"/>
      <x:c r="B55" s="12"/>
      <x:c r="C55" s="12"/>
      <x:c r="D55" s="18"/>
      <x:c r="E55" s="18"/>
      <x:c r="F55" s="18"/>
      <x:c r="G55" s="12"/>
      <x:c r="H55" s="12"/>
      <x:c r="I55" s="12"/>
      <x:c r="J55" s="12"/>
      <x:c r="K55" s="12"/>
      <x:c r="L55" s="12"/>
    </x:row>
    <x:row r="56">
      <x:c r="A56" s="12"/>
      <x:c r="B56" s="12"/>
      <x:c r="C56" s="12"/>
      <x:c r="D56" s="18"/>
      <x:c r="E56" s="18"/>
      <x:c r="F56" s="18"/>
      <x:c r="G56" s="12"/>
      <x:c r="H56" s="12"/>
      <x:c r="I56" s="12"/>
      <x:c r="J56" s="12"/>
      <x:c r="K56" s="12"/>
      <x:c r="L56" s="12"/>
    </x:row>
    <x:row r="57">
      <x:c r="A57" s="12"/>
      <x:c r="B57" s="12"/>
      <x:c r="C57" s="12"/>
      <x:c r="D57" s="18"/>
      <x:c r="E57" s="18"/>
      <x:c r="F57" s="18"/>
      <x:c r="G57" s="12"/>
      <x:c r="H57" s="12"/>
      <x:c r="I57" s="12"/>
      <x:c r="J57" s="12"/>
      <x:c r="K57" s="12"/>
      <x:c r="L57" s="12"/>
    </x:row>
    <x:row r="58">
      <x:c r="A58" s="12"/>
      <x:c r="B58" s="12"/>
      <x:c r="C58" s="12"/>
      <x:c r="D58" s="18"/>
      <x:c r="E58" s="18"/>
      <x:c r="F58" s="18"/>
      <x:c r="G58" s="12"/>
      <x:c r="H58" s="12"/>
      <x:c r="I58" s="12"/>
      <x:c r="J58" s="12"/>
      <x:c r="K58" s="12"/>
      <x:c r="L58" s="12"/>
    </x:row>
    <x:row r="59">
      <x:c r="A59" s="12"/>
      <x:c r="B59" s="12"/>
      <x:c r="C59" s="12"/>
      <x:c r="D59" s="18"/>
      <x:c r="E59" s="18"/>
      <x:c r="F59" s="18"/>
      <x:c r="G59" s="12"/>
      <x:c r="H59" s="12"/>
      <x:c r="I59" s="12"/>
      <x:c r="J59" s="12"/>
      <x:c r="K59" s="12"/>
      <x:c r="L59" s="12"/>
    </x:row>
    <x:row r="60">
      <x:c r="A60" s="12"/>
      <x:c r="B60" s="12"/>
      <x:c r="C60" s="12"/>
      <x:c r="D60" s="18"/>
      <x:c r="E60" s="18"/>
      <x:c r="F60" s="18"/>
      <x:c r="G60" s="12"/>
      <x:c r="H60" s="12"/>
      <x:c r="I60" s="12"/>
      <x:c r="J60" s="12"/>
      <x:c r="K60" s="12"/>
      <x:c r="L60" s="12"/>
    </x:row>
    <x:row r="61">
      <x:c r="A61" s="12"/>
      <x:c r="B61" s="12"/>
      <x:c r="C61" s="12"/>
      <x:c r="D61" s="18"/>
      <x:c r="E61" s="18"/>
      <x:c r="F61" s="18"/>
      <x:c r="G61" s="12"/>
      <x:c r="H61" s="12"/>
      <x:c r="I61" s="12"/>
      <x:c r="J61" s="12"/>
      <x:c r="K61" s="12"/>
      <x:c r="L61" s="12"/>
    </x:row>
    <x:row r="62">
      <x:c r="A62" s="12"/>
      <x:c r="B62" s="12"/>
      <x:c r="C62" s="12"/>
      <x:c r="D62" s="18"/>
      <x:c r="E62" s="18"/>
      <x:c r="F62" s="18"/>
      <x:c r="G62" s="12"/>
      <x:c r="H62" s="12"/>
      <x:c r="I62" s="12"/>
      <x:c r="J62" s="12"/>
      <x:c r="K62" s="12"/>
      <x:c r="L62" s="12"/>
    </x:row>
    <x:row r="63">
      <x:c r="A63" s="12"/>
      <x:c r="B63" s="12"/>
      <x:c r="C63" s="12"/>
      <x:c r="D63" s="18"/>
      <x:c r="E63" s="18"/>
      <x:c r="F63" s="18"/>
      <x:c r="G63" s="12"/>
      <x:c r="H63" s="12"/>
      <x:c r="I63" s="12"/>
      <x:c r="J63" s="12"/>
      <x:c r="K63" s="12"/>
      <x:c r="L63" s="12"/>
    </x:row>
    <x:row r="64">
      <x:c r="A64" s="12"/>
      <x:c r="B64" s="12"/>
      <x:c r="C64" s="12"/>
      <x:c r="D64" s="18"/>
      <x:c r="E64" s="18"/>
      <x:c r="F64" s="18"/>
      <x:c r="G64" s="12"/>
      <x:c r="H64" s="12"/>
      <x:c r="I64" s="12"/>
      <x:c r="J64" s="12"/>
      <x:c r="K64" s="12"/>
      <x:c r="L64" s="12"/>
    </x:row>
    <x:row r="65">
      <x:c r="A65" s="12"/>
      <x:c r="B65" s="12"/>
      <x:c r="C65" s="12"/>
      <x:c r="D65" s="18"/>
      <x:c r="E65" s="18"/>
      <x:c r="F65" s="18"/>
      <x:c r="G65" s="12"/>
      <x:c r="H65" s="12"/>
      <x:c r="I65" s="12"/>
      <x:c r="J65" s="12"/>
      <x:c r="K65" s="12"/>
      <x:c r="L65" s="12"/>
    </x:row>
    <x:row r="66">
      <x:c r="A66" s="12"/>
      <x:c r="B66" s="12"/>
      <x:c r="C66" s="12"/>
      <x:c r="D66" s="18"/>
      <x:c r="E66" s="18"/>
      <x:c r="F66" s="18"/>
      <x:c r="G66" s="12"/>
      <x:c r="H66" s="12"/>
      <x:c r="I66" s="12"/>
      <x:c r="J66" s="12"/>
      <x:c r="K66" s="12"/>
      <x:c r="L66" s="12"/>
    </x:row>
    <x:row r="67">
      <x:c r="A67" s="12"/>
      <x:c r="B67" s="12"/>
      <x:c r="C67" s="12"/>
      <x:c r="D67" s="18"/>
      <x:c r="E67" s="18"/>
      <x:c r="F67" s="18"/>
      <x:c r="G67" s="12"/>
      <x:c r="H67" s="12"/>
      <x:c r="I67" s="12"/>
      <x:c r="J67" s="12"/>
      <x:c r="K67" s="12"/>
      <x:c r="L67" s="12"/>
    </x:row>
    <x:row r="68">
      <x:c r="A68" s="12"/>
      <x:c r="B68" s="12"/>
      <x:c r="C68" s="12"/>
      <x:c r="D68" s="18"/>
      <x:c r="E68" s="18"/>
      <x:c r="F68" s="18"/>
      <x:c r="G68" s="12"/>
      <x:c r="H68" s="12"/>
      <x:c r="I68" s="12"/>
      <x:c r="J68" s="12"/>
      <x:c r="K68" s="12"/>
      <x:c r="L68" s="12"/>
    </x:row>
    <x:row r="69">
      <x:c r="A69" s="12"/>
      <x:c r="B69" s="12"/>
      <x:c r="C69" s="12"/>
      <x:c r="D69" s="18"/>
      <x:c r="E69" s="18"/>
      <x:c r="F69" s="18"/>
      <x:c r="G69" s="12"/>
      <x:c r="H69" s="12"/>
      <x:c r="I69" s="12"/>
      <x:c r="J69" s="12"/>
      <x:c r="K69" s="12"/>
      <x:c r="L69" s="12"/>
    </x:row>
    <x:row r="70">
      <x:c r="A70" s="12"/>
      <x:c r="B70" s="12"/>
      <x:c r="C70" s="12"/>
      <x:c r="D70" s="18"/>
      <x:c r="E70" s="18"/>
      <x:c r="F70" s="18"/>
      <x:c r="G70" s="12"/>
      <x:c r="H70" s="12"/>
      <x:c r="I70" s="12"/>
      <x:c r="J70" s="12"/>
      <x:c r="K70" s="12"/>
      <x:c r="L70" s="12"/>
    </x:row>
    <x:row r="71">
      <x:c r="A71" s="12"/>
      <x:c r="B71" s="12"/>
      <x:c r="C71" s="12"/>
      <x:c r="D71" s="18"/>
      <x:c r="E71" s="18"/>
      <x:c r="F71" s="18"/>
      <x:c r="G71" s="12"/>
      <x:c r="H71" s="12"/>
      <x:c r="I71" s="12"/>
      <x:c r="J71" s="12"/>
      <x:c r="K71" s="12"/>
      <x:c r="L71" s="12"/>
    </x:row>
    <x:row r="72">
      <x:c r="A72" s="12"/>
      <x:c r="B72" s="12"/>
      <x:c r="C72" s="12"/>
      <x:c r="D72" s="18"/>
      <x:c r="E72" s="18"/>
      <x:c r="F72" s="18"/>
      <x:c r="G72" s="12"/>
      <x:c r="H72" s="12"/>
      <x:c r="I72" s="12"/>
      <x:c r="J72" s="12"/>
      <x:c r="K72" s="12"/>
      <x:c r="L72" s="12"/>
    </x:row>
    <x:row r="73">
      <x:c r="A73" s="12"/>
      <x:c r="B73" s="12"/>
      <x:c r="C73" s="12"/>
      <x:c r="D73" s="18"/>
      <x:c r="E73" s="18"/>
      <x:c r="F73" s="18"/>
      <x:c r="G73" s="12"/>
      <x:c r="H73" s="12"/>
      <x:c r="I73" s="12"/>
      <x:c r="J73" s="12"/>
      <x:c r="K73" s="12"/>
      <x:c r="L73" s="12"/>
    </x:row>
    <x:row r="74">
      <x:c r="A74" s="12"/>
      <x:c r="B74" s="12"/>
      <x:c r="C74" s="12"/>
      <x:c r="D74" s="18"/>
      <x:c r="E74" s="18"/>
      <x:c r="F74" s="18"/>
      <x:c r="G74" s="12"/>
      <x:c r="H74" s="12"/>
      <x:c r="I74" s="12"/>
      <x:c r="J74" s="12"/>
      <x:c r="K74" s="12"/>
      <x:c r="L74" s="12"/>
    </x:row>
    <x:row r="75">
      <x:c r="A75" s="12"/>
      <x:c r="B75" s="12"/>
      <x:c r="C75" s="12"/>
      <x:c r="D75" s="18"/>
      <x:c r="E75" s="18"/>
      <x:c r="F75" s="18"/>
      <x:c r="G75" s="12"/>
      <x:c r="H75" s="12"/>
      <x:c r="I75" s="12"/>
      <x:c r="J75" s="12"/>
      <x:c r="K75" s="12"/>
      <x:c r="L75" s="12"/>
    </x:row>
    <x:row r="76">
      <x:c r="A76" s="12"/>
      <x:c r="B76" s="12"/>
      <x:c r="C76" s="12"/>
      <x:c r="D76" s="18"/>
      <x:c r="E76" s="18"/>
      <x:c r="F76" s="18"/>
      <x:c r="G76" s="12"/>
      <x:c r="H76" s="12"/>
      <x:c r="I76" s="12"/>
      <x:c r="J76" s="12"/>
      <x:c r="K76" s="12"/>
      <x:c r="L76" s="12"/>
    </x:row>
    <x:row r="77">
      <x:c r="A77" s="12"/>
      <x:c r="B77" s="12"/>
      <x:c r="C77" s="12"/>
      <x:c r="D77" s="18"/>
      <x:c r="E77" s="18"/>
      <x:c r="F77" s="18"/>
      <x:c r="G77" s="12"/>
      <x:c r="H77" s="12"/>
      <x:c r="I77" s="12"/>
      <x:c r="J77" s="12"/>
      <x:c r="K77" s="12"/>
      <x:c r="L77" s="12"/>
    </x:row>
    <x:row r="78">
      <x:c r="A78" s="12"/>
      <x:c r="B78" s="12"/>
      <x:c r="C78" s="12"/>
      <x:c r="D78" s="18"/>
      <x:c r="E78" s="18"/>
      <x:c r="F78" s="18"/>
      <x:c r="G78" s="12"/>
      <x:c r="H78" s="12"/>
      <x:c r="I78" s="12"/>
      <x:c r="J78" s="12"/>
      <x:c r="K78" s="12"/>
      <x:c r="L78" s="12"/>
    </x:row>
    <x:row r="79">
      <x:c r="A79" s="12"/>
      <x:c r="B79" s="12"/>
      <x:c r="C79" s="12"/>
      <x:c r="D79" s="18"/>
      <x:c r="E79" s="18"/>
      <x:c r="F79" s="18"/>
      <x:c r="G79" s="12"/>
      <x:c r="H79" s="12"/>
      <x:c r="I79" s="12"/>
      <x:c r="J79" s="12"/>
      <x:c r="K79" s="12"/>
      <x:c r="L79" s="12"/>
    </x:row>
    <x:row r="80">
      <x:c r="A80" s="12"/>
      <x:c r="B80" s="12"/>
      <x:c r="C80" s="12"/>
      <x:c r="D80" s="18"/>
      <x:c r="E80" s="18"/>
      <x:c r="F80" s="18"/>
      <x:c r="G80" s="12"/>
      <x:c r="H80" s="12"/>
      <x:c r="I80" s="12"/>
      <x:c r="J80" s="12"/>
      <x:c r="K80" s="12"/>
      <x:c r="L80" s="12"/>
    </x:row>
    <x:row r="81">
      <x:c r="A81" s="12"/>
      <x:c r="B81" s="12"/>
      <x:c r="C81" s="12"/>
      <x:c r="D81" s="18"/>
      <x:c r="E81" s="18"/>
      <x:c r="F81" s="18"/>
      <x:c r="G81" s="12"/>
      <x:c r="H81" s="12"/>
      <x:c r="I81" s="12"/>
      <x:c r="J81" s="12"/>
      <x:c r="K81" s="12"/>
      <x:c r="L81" s="12"/>
    </x:row>
    <x:row r="82">
      <x:c r="A82" s="12"/>
      <x:c r="B82" s="12"/>
      <x:c r="C82" s="12"/>
      <x:c r="D82" s="18"/>
      <x:c r="E82" s="18"/>
      <x:c r="F82" s="18"/>
      <x:c r="G82" s="12"/>
      <x:c r="H82" s="12"/>
      <x:c r="I82" s="12"/>
      <x:c r="J82" s="12"/>
      <x:c r="K82" s="12"/>
      <x:c r="L82" s="12"/>
    </x:row>
    <x:row r="83">
      <x:c r="A83" s="12"/>
      <x:c r="B83" s="12"/>
      <x:c r="C83" s="12"/>
      <x:c r="D83" s="18"/>
      <x:c r="E83" s="18"/>
      <x:c r="F83" s="18"/>
      <x:c r="G83" s="12"/>
      <x:c r="H83" s="12"/>
      <x:c r="I83" s="12"/>
      <x:c r="J83" s="12"/>
      <x:c r="K83" s="12"/>
      <x:c r="L83" s="12"/>
    </x:row>
    <x:row r="84">
      <x:c r="A84" s="12"/>
      <x:c r="B84" s="12"/>
      <x:c r="C84" s="12"/>
      <x:c r="D84" s="18"/>
      <x:c r="E84" s="18"/>
      <x:c r="F84" s="18"/>
      <x:c r="G84" s="12"/>
      <x:c r="H84" s="12"/>
      <x:c r="I84" s="12"/>
      <x:c r="J84" s="12"/>
      <x:c r="K84" s="12"/>
      <x:c r="L84" s="12"/>
    </x:row>
    <x:row r="85">
      <x:c r="A85" s="12"/>
      <x:c r="B85" s="12"/>
      <x:c r="C85" s="12"/>
      <x:c r="D85" s="18"/>
      <x:c r="E85" s="18"/>
      <x:c r="F85" s="18"/>
      <x:c r="G85" s="12"/>
      <x:c r="H85" s="12"/>
      <x:c r="I85" s="12"/>
      <x:c r="J85" s="12"/>
      <x:c r="K85" s="12"/>
      <x:c r="L85" s="12"/>
    </x:row>
    <x:row r="86">
      <x:c r="A86" s="12"/>
      <x:c r="B86" s="12"/>
      <x:c r="C86" s="12"/>
      <x:c r="D86" s="18"/>
      <x:c r="E86" s="18"/>
      <x:c r="F86" s="18"/>
      <x:c r="G86" s="12"/>
      <x:c r="H86" s="12"/>
      <x:c r="I86" s="12"/>
      <x:c r="J86" s="12"/>
      <x:c r="K86" s="12"/>
      <x:c r="L86" s="12"/>
    </x:row>
    <x:row r="87">
      <x:c r="A87" s="12"/>
      <x:c r="B87" s="12"/>
      <x:c r="C87" s="12"/>
      <x:c r="D87" s="18"/>
      <x:c r="E87" s="18"/>
      <x:c r="F87" s="18"/>
      <x:c r="G87" s="12"/>
      <x:c r="H87" s="12"/>
      <x:c r="I87" s="12"/>
      <x:c r="J87" s="12"/>
      <x:c r="K87" s="12"/>
      <x:c r="L87" s="12"/>
    </x:row>
    <x:row r="88">
      <x:c r="A88" s="12"/>
      <x:c r="B88" s="12"/>
      <x:c r="C88" s="12"/>
      <x:c r="D88" s="18"/>
      <x:c r="E88" s="18"/>
      <x:c r="F88" s="18"/>
      <x:c r="G88" s="12"/>
      <x:c r="H88" s="12"/>
      <x:c r="I88" s="12"/>
      <x:c r="J88" s="12"/>
      <x:c r="K88" s="12"/>
      <x:c r="L88" s="12"/>
    </x:row>
    <x:row r="89">
      <x:c r="A89" s="12"/>
      <x:c r="B89" s="12"/>
      <x:c r="C89" s="12"/>
      <x:c r="D89" s="18"/>
      <x:c r="E89" s="18"/>
      <x:c r="F89" s="18"/>
      <x:c r="G89" s="12"/>
      <x:c r="H89" s="12"/>
      <x:c r="I89" s="12"/>
      <x:c r="J89" s="12"/>
      <x:c r="K89" s="12"/>
      <x:c r="L89" s="12"/>
    </x:row>
    <x:row r="90">
      <x:c r="A90" s="12"/>
      <x:c r="B90" s="12"/>
      <x:c r="C90" s="12"/>
      <x:c r="D90" s="18"/>
      <x:c r="E90" s="18"/>
      <x:c r="F90" s="18"/>
      <x:c r="G90" s="12"/>
      <x:c r="H90" s="12"/>
      <x:c r="I90" s="12"/>
      <x:c r="J90" s="12"/>
      <x:c r="K90" s="12"/>
      <x:c r="L90" s="12"/>
    </x:row>
    <x:row r="91">
      <x:c r="A91" s="12"/>
      <x:c r="B91" s="12"/>
      <x:c r="C91" s="12"/>
      <x:c r="D91" s="18"/>
      <x:c r="E91" s="18"/>
      <x:c r="F91" s="18"/>
      <x:c r="G91" s="12"/>
      <x:c r="H91" s="12"/>
      <x:c r="I91" s="12"/>
      <x:c r="J91" s="12"/>
      <x:c r="K91" s="12"/>
      <x:c r="L91" s="12"/>
    </x:row>
    <x:row r="92">
      <x:c r="A92" s="12"/>
      <x:c r="B92" s="12"/>
      <x:c r="C92" s="12"/>
      <x:c r="D92" s="18"/>
      <x:c r="E92" s="18"/>
      <x:c r="F92" s="18"/>
      <x:c r="G92" s="12"/>
      <x:c r="H92" s="12"/>
      <x:c r="I92" s="12"/>
      <x:c r="J92" s="12"/>
      <x:c r="K92" s="12"/>
      <x:c r="L92" s="12"/>
    </x:row>
    <x:row r="93">
      <x:c r="A93" s="12"/>
      <x:c r="B93" s="12"/>
      <x:c r="C93" s="12"/>
      <x:c r="D93" s="18"/>
      <x:c r="E93" s="18"/>
      <x:c r="F93" s="18"/>
      <x:c r="G93" s="12"/>
      <x:c r="H93" s="12"/>
      <x:c r="I93" s="12"/>
      <x:c r="J93" s="12"/>
      <x:c r="K93" s="12"/>
      <x:c r="L93" s="12"/>
    </x:row>
    <x:row r="94">
      <x:c r="A94" s="12"/>
      <x:c r="B94" s="12"/>
      <x:c r="C94" s="12"/>
      <x:c r="D94" s="18"/>
      <x:c r="E94" s="18"/>
      <x:c r="F94" s="18"/>
      <x:c r="G94" s="12"/>
      <x:c r="H94" s="12"/>
      <x:c r="I94" s="12"/>
      <x:c r="J94" s="12"/>
      <x:c r="K94" s="12"/>
      <x:c r="L94" s="12"/>
    </x:row>
    <x:row r="95">
      <x:c r="A95" s="12"/>
      <x:c r="B95" s="12"/>
      <x:c r="C95" s="12"/>
      <x:c r="D95" s="18"/>
      <x:c r="E95" s="18"/>
      <x:c r="F95" s="18"/>
      <x:c r="G95" s="12"/>
      <x:c r="H95" s="12"/>
      <x:c r="I95" s="12"/>
      <x:c r="J95" s="12"/>
      <x:c r="K95" s="12"/>
      <x:c r="L95" s="12"/>
    </x:row>
    <x:row r="96">
      <x:c r="A96" s="12"/>
      <x:c r="B96" s="12"/>
      <x:c r="C96" s="12"/>
      <x:c r="D96" s="18"/>
      <x:c r="E96" s="18"/>
      <x:c r="F96" s="18"/>
      <x:c r="G96" s="12"/>
      <x:c r="H96" s="12"/>
      <x:c r="I96" s="12"/>
      <x:c r="J96" s="12"/>
      <x:c r="K96" s="12"/>
      <x:c r="L96" s="12"/>
    </x:row>
    <x:row r="97">
      <x:c r="A97" s="12"/>
      <x:c r="B97" s="12"/>
      <x:c r="C97" s="12"/>
      <x:c r="D97" s="18"/>
      <x:c r="E97" s="18"/>
      <x:c r="F97" s="18"/>
      <x:c r="G97" s="12"/>
      <x:c r="H97" s="12"/>
      <x:c r="I97" s="12"/>
      <x:c r="J97" s="12"/>
      <x:c r="K97" s="12"/>
      <x:c r="L97" s="12"/>
    </x:row>
    <x:row r="98">
      <x:c r="A98" s="12"/>
      <x:c r="B98" s="12"/>
      <x:c r="C98" s="12"/>
      <x:c r="D98" s="18"/>
      <x:c r="E98" s="18"/>
      <x:c r="F98" s="18"/>
      <x:c r="G98" s="12"/>
      <x:c r="H98" s="12"/>
      <x:c r="I98" s="12"/>
      <x:c r="J98" s="12"/>
      <x:c r="K98" s="12"/>
      <x:c r="L98" s="12"/>
    </x:row>
    <x:row r="99">
      <x:c r="A99" s="12"/>
      <x:c r="B99" s="12"/>
      <x:c r="C99" s="12"/>
      <x:c r="D99" s="18"/>
      <x:c r="E99" s="18"/>
      <x:c r="F99" s="18"/>
      <x:c r="G99" s="12"/>
      <x:c r="H99" s="12"/>
      <x:c r="I99" s="12"/>
      <x:c r="J99" s="12"/>
      <x:c r="K99" s="12"/>
      <x:c r="L99" s="12"/>
    </x:row>
    <x:row r="100">
      <x:c r="A100" s="12"/>
      <x:c r="B100" s="12"/>
      <x:c r="C100" s="12"/>
      <x:c r="D100" s="18"/>
      <x:c r="E100" s="18"/>
      <x:c r="F100" s="18"/>
      <x:c r="G100" s="12"/>
      <x:c r="H100" s="12"/>
      <x:c r="I100" s="12"/>
      <x:c r="J100" s="12"/>
      <x:c r="K100" s="12"/>
      <x:c r="L100" s="12"/>
    </x:row>
    <x:row r="101">
      <x:c r="A101" s="12"/>
      <x:c r="B101" s="12"/>
      <x:c r="C101" s="12"/>
      <x:c r="D101" s="18"/>
      <x:c r="E101" s="18"/>
      <x:c r="F101" s="18"/>
      <x:c r="G101" s="12"/>
      <x:c r="H101" s="12"/>
      <x:c r="I101" s="12"/>
      <x:c r="J101" s="12"/>
      <x:c r="K101" s="12"/>
      <x:c r="L101" s="12"/>
    </x:row>
    <x:row r="102">
      <x:c r="A102" s="12"/>
      <x:c r="B102" s="12"/>
      <x:c r="C102" s="12"/>
      <x:c r="D102" s="18"/>
      <x:c r="E102" s="18"/>
      <x:c r="F102" s="18"/>
      <x:c r="G102" s="12"/>
      <x:c r="H102" s="12"/>
      <x:c r="I102" s="12"/>
      <x:c r="J102" s="12"/>
      <x:c r="K102" s="12"/>
      <x:c r="L102" s="12"/>
    </x:row>
    <x:row r="103">
      <x:c r="A103" s="12"/>
      <x:c r="B103" s="12"/>
      <x:c r="C103" s="12"/>
      <x:c r="D103" s="18"/>
      <x:c r="E103" s="18"/>
      <x:c r="F103" s="18"/>
      <x:c r="G103" s="12"/>
      <x:c r="H103" s="12"/>
      <x:c r="I103" s="12"/>
      <x:c r="J103" s="12"/>
      <x:c r="K103" s="12"/>
      <x:c r="L103" s="12"/>
    </x:row>
    <x:row r="104">
      <x:c r="A104" s="12"/>
      <x:c r="B104" s="12"/>
      <x:c r="C104" s="12"/>
      <x:c r="D104" s="18"/>
      <x:c r="E104" s="18"/>
      <x:c r="F104" s="18"/>
      <x:c r="G104" s="12"/>
      <x:c r="H104" s="12"/>
      <x:c r="I104" s="12"/>
      <x:c r="J104" s="12"/>
      <x:c r="K104" s="12"/>
      <x:c r="L104" s="12"/>
    </x:row>
    <x:row r="105">
      <x:c r="A105" s="12"/>
      <x:c r="B105" s="12"/>
      <x:c r="C105" s="12"/>
      <x:c r="D105" s="18"/>
      <x:c r="E105" s="18"/>
      <x:c r="F105" s="18"/>
      <x:c r="G105" s="12"/>
      <x:c r="H105" s="12"/>
      <x:c r="I105" s="12"/>
      <x:c r="J105" s="12"/>
      <x:c r="K105" s="12"/>
      <x:c r="L105" s="12"/>
    </x:row>
    <x:row r="106">
      <x:c r="A106" s="12"/>
      <x:c r="B106" s="12"/>
      <x:c r="C106" s="12"/>
      <x:c r="D106" s="18"/>
      <x:c r="E106" s="18"/>
      <x:c r="F106" s="18"/>
      <x:c r="G106" s="12"/>
      <x:c r="H106" s="12"/>
      <x:c r="I106" s="12"/>
      <x:c r="J106" s="12"/>
      <x:c r="K106" s="12"/>
      <x:c r="L106" s="12"/>
    </x:row>
    <x:row r="107">
      <x:c r="A107" s="12"/>
      <x:c r="B107" s="12"/>
      <x:c r="C107" s="12"/>
      <x:c r="D107" s="18"/>
      <x:c r="E107" s="18"/>
      <x:c r="F107" s="18"/>
      <x:c r="G107" s="12"/>
      <x:c r="H107" s="12"/>
      <x:c r="I107" s="12"/>
      <x:c r="J107" s="12"/>
      <x:c r="K107" s="12"/>
      <x:c r="L107" s="12"/>
    </x:row>
    <x:row r="108">
      <x:c r="A108" s="12"/>
      <x:c r="B108" s="12"/>
      <x:c r="C108" s="12"/>
      <x:c r="D108" s="18"/>
      <x:c r="E108" s="18"/>
      <x:c r="F108" s="18"/>
      <x:c r="G108" s="12"/>
      <x:c r="H108" s="12"/>
      <x:c r="I108" s="12"/>
      <x:c r="J108" s="12"/>
      <x:c r="K108" s="12"/>
      <x:c r="L108" s="12"/>
    </x:row>
    <x:row r="109">
      <x:c r="A109" s="12"/>
      <x:c r="B109" s="12"/>
      <x:c r="C109" s="12"/>
      <x:c r="D109" s="18"/>
      <x:c r="E109" s="18"/>
      <x:c r="F109" s="18"/>
      <x:c r="G109" s="12"/>
      <x:c r="H109" s="12"/>
      <x:c r="I109" s="12"/>
      <x:c r="J109" s="12"/>
      <x:c r="K109" s="12"/>
      <x:c r="L109" s="12"/>
    </x:row>
    <x:row r="110">
      <x:c r="A110" s="12"/>
      <x:c r="B110" s="12"/>
      <x:c r="C110" s="12"/>
      <x:c r="D110" s="18"/>
      <x:c r="E110" s="18"/>
      <x:c r="F110" s="18"/>
      <x:c r="G110" s="12"/>
      <x:c r="H110" s="12"/>
      <x:c r="I110" s="12"/>
      <x:c r="J110" s="12"/>
      <x:c r="K110" s="12"/>
      <x:c r="L110" s="12"/>
    </x:row>
    <x:row r="111">
      <x:c r="A111" s="12"/>
      <x:c r="B111" s="12"/>
      <x:c r="C111" s="12"/>
      <x:c r="D111" s="18"/>
      <x:c r="E111" s="18"/>
      <x:c r="F111" s="18"/>
      <x:c r="G111" s="12"/>
      <x:c r="H111" s="12"/>
      <x:c r="I111" s="12"/>
      <x:c r="J111" s="12"/>
      <x:c r="K111" s="12"/>
      <x:c r="L111" s="12"/>
    </x:row>
    <x:row r="112">
      <x:c r="A112" s="12"/>
      <x:c r="B112" s="12"/>
      <x:c r="C112" s="12"/>
      <x:c r="D112" s="18"/>
      <x:c r="E112" s="18"/>
      <x:c r="F112" s="18"/>
      <x:c r="G112" s="12"/>
      <x:c r="H112" s="12"/>
      <x:c r="I112" s="12"/>
      <x:c r="J112" s="12"/>
      <x:c r="K112" s="12"/>
      <x:c r="L112" s="12"/>
    </x:row>
    <x:row r="113">
      <x:c r="A113" s="12"/>
      <x:c r="B113" s="12"/>
      <x:c r="C113" s="12"/>
      <x:c r="D113" s="18"/>
      <x:c r="E113" s="18"/>
      <x:c r="F113" s="18"/>
      <x:c r="G113" s="12"/>
      <x:c r="H113" s="12"/>
      <x:c r="I113" s="12"/>
      <x:c r="J113" s="12"/>
      <x:c r="K113" s="12"/>
      <x:c r="L113" s="12"/>
    </x:row>
    <x:row r="114">
      <x:c r="A114" s="12"/>
      <x:c r="B114" s="12"/>
      <x:c r="C114" s="12"/>
      <x:c r="D114" s="18"/>
      <x:c r="E114" s="18"/>
      <x:c r="F114" s="18"/>
      <x:c r="G114" s="12"/>
      <x:c r="H114" s="12"/>
      <x:c r="I114" s="12"/>
      <x:c r="J114" s="12"/>
      <x:c r="K114" s="12"/>
      <x:c r="L114" s="12"/>
    </x:row>
    <x:row r="115">
      <x:c r="A115" s="12"/>
      <x:c r="B115" s="12"/>
      <x:c r="C115" s="12"/>
      <x:c r="D115" s="18"/>
      <x:c r="E115" s="18"/>
      <x:c r="F115" s="18"/>
      <x:c r="G115" s="12"/>
      <x:c r="H115" s="12"/>
      <x:c r="I115" s="12"/>
      <x:c r="J115" s="12"/>
      <x:c r="K115" s="12"/>
      <x:c r="L115" s="12"/>
    </x:row>
    <x:row r="116">
      <x:c r="A116" s="12"/>
      <x:c r="B116" s="12"/>
      <x:c r="C116" s="12"/>
      <x:c r="D116" s="18"/>
      <x:c r="E116" s="18"/>
      <x:c r="F116" s="18"/>
      <x:c r="G116" s="12"/>
      <x:c r="H116" s="12"/>
      <x:c r="I116" s="12"/>
      <x:c r="J116" s="12"/>
      <x:c r="K116" s="12"/>
      <x:c r="L116" s="12"/>
    </x:row>
    <x:row r="117">
      <x:c r="A117" s="12"/>
      <x:c r="B117" s="12"/>
      <x:c r="C117" s="12"/>
      <x:c r="D117" s="18"/>
      <x:c r="E117" s="18"/>
      <x:c r="F117" s="18"/>
      <x:c r="G117" s="12"/>
      <x:c r="H117" s="12"/>
      <x:c r="I117" s="12"/>
      <x:c r="J117" s="12"/>
      <x:c r="K117" s="12"/>
      <x:c r="L117" s="12"/>
    </x:row>
    <x:row r="118">
      <x:c r="A118" s="12"/>
      <x:c r="B118" s="12"/>
      <x:c r="C118" s="12"/>
      <x:c r="D118" s="18"/>
      <x:c r="E118" s="18"/>
      <x:c r="F118" s="18"/>
      <x:c r="G118" s="12"/>
      <x:c r="H118" s="12"/>
      <x:c r="I118" s="12"/>
      <x:c r="J118" s="12"/>
      <x:c r="K118" s="12"/>
      <x:c r="L118" s="12"/>
    </x:row>
    <x:row r="119">
      <x:c r="A119" s="12"/>
      <x:c r="B119" s="12"/>
      <x:c r="C119" s="12"/>
      <x:c r="D119" s="18"/>
      <x:c r="E119" s="18"/>
      <x:c r="F119" s="18"/>
      <x:c r="G119" s="12"/>
      <x:c r="H119" s="12"/>
      <x:c r="I119" s="12"/>
      <x:c r="J119" s="12"/>
      <x:c r="K119" s="12"/>
      <x:c r="L119" s="12"/>
    </x:row>
    <x:row r="120">
      <x:c r="A120" s="12"/>
      <x:c r="B120" s="12"/>
      <x:c r="C120" s="12"/>
      <x:c r="D120" s="18"/>
      <x:c r="E120" s="18"/>
      <x:c r="F120" s="18"/>
      <x:c r="G120" s="12"/>
      <x:c r="H120" s="12"/>
      <x:c r="I120" s="12"/>
      <x:c r="J120" s="12"/>
      <x:c r="K120" s="12"/>
      <x:c r="L120" s="12"/>
    </x:row>
    <x:row r="121">
      <x:c r="A121" s="12"/>
      <x:c r="B121" s="12"/>
      <x:c r="C121" s="12"/>
      <x:c r="D121" s="18"/>
      <x:c r="E121" s="18"/>
      <x:c r="F121" s="18"/>
      <x:c r="G121" s="12"/>
      <x:c r="H121" s="12"/>
      <x:c r="I121" s="12"/>
      <x:c r="J121" s="12"/>
      <x:c r="K121" s="12"/>
      <x:c r="L121" s="12"/>
    </x:row>
    <x:row r="122">
      <x:c r="A122" s="12"/>
      <x:c r="B122" s="12"/>
      <x:c r="C122" s="12"/>
      <x:c r="D122" s="18"/>
      <x:c r="E122" s="18"/>
      <x:c r="F122" s="18"/>
      <x:c r="G122" s="12"/>
      <x:c r="H122" s="12"/>
      <x:c r="I122" s="12"/>
      <x:c r="J122" s="12"/>
      <x:c r="K122" s="12"/>
      <x:c r="L122" s="12"/>
    </x:row>
    <x:row r="123">
      <x:c r="A123" s="12"/>
      <x:c r="B123" s="12"/>
      <x:c r="C123" s="12"/>
      <x:c r="D123" s="18"/>
      <x:c r="E123" s="18"/>
      <x:c r="F123" s="18"/>
      <x:c r="G123" s="12"/>
      <x:c r="H123" s="12"/>
      <x:c r="I123" s="12"/>
      <x:c r="J123" s="12"/>
      <x:c r="K123" s="12"/>
      <x:c r="L123" s="12"/>
    </x:row>
    <x:row r="124">
      <x:c r="A124" s="12"/>
      <x:c r="B124" s="12"/>
      <x:c r="C124" s="12"/>
      <x:c r="D124" s="18"/>
      <x:c r="E124" s="18"/>
      <x:c r="F124" s="18"/>
      <x:c r="G124" s="12"/>
      <x:c r="H124" s="12"/>
      <x:c r="I124" s="12"/>
      <x:c r="J124" s="12"/>
      <x:c r="K124" s="12"/>
      <x:c r="L124" s="12"/>
    </x:row>
    <x:row r="125">
      <x:c r="A125" s="12"/>
      <x:c r="B125" s="12"/>
      <x:c r="C125" s="12"/>
      <x:c r="D125" s="18"/>
      <x:c r="E125" s="18"/>
      <x:c r="F125" s="18"/>
      <x:c r="G125" s="12"/>
      <x:c r="H125" s="12"/>
      <x:c r="I125" s="12"/>
      <x:c r="J125" s="12"/>
      <x:c r="K125" s="12"/>
      <x:c r="L125" s="12"/>
    </x:row>
    <x:row r="126">
      <x:c r="A126" s="12"/>
      <x:c r="B126" s="12"/>
      <x:c r="C126" s="12"/>
      <x:c r="D126" s="18"/>
      <x:c r="E126" s="18"/>
      <x:c r="F126" s="18"/>
      <x:c r="G126" s="12"/>
      <x:c r="H126" s="12"/>
      <x:c r="I126" s="12"/>
      <x:c r="J126" s="12"/>
      <x:c r="K126" s="12"/>
      <x:c r="L126" s="12"/>
    </x:row>
    <x:row r="127">
      <x:c r="A127" s="12"/>
      <x:c r="B127" s="12"/>
      <x:c r="C127" s="12"/>
      <x:c r="D127" s="18"/>
      <x:c r="E127" s="18"/>
      <x:c r="F127" s="18"/>
      <x:c r="G127" s="12"/>
      <x:c r="H127" s="12"/>
      <x:c r="I127" s="12"/>
      <x:c r="J127" s="12"/>
      <x:c r="K127" s="12"/>
      <x:c r="L127" s="12"/>
    </x:row>
    <x:row r="128">
      <x:c r="A128" s="12"/>
      <x:c r="B128" s="12"/>
      <x:c r="C128" s="12"/>
      <x:c r="D128" s="18"/>
      <x:c r="E128" s="18"/>
      <x:c r="F128" s="18"/>
      <x:c r="G128" s="12"/>
      <x:c r="H128" s="12"/>
      <x:c r="I128" s="12"/>
      <x:c r="J128" s="12"/>
      <x:c r="K128" s="12"/>
      <x:c r="L128" s="12"/>
    </x:row>
    <x:row r="129">
      <x:c r="A129" s="12"/>
      <x:c r="B129" s="12"/>
      <x:c r="C129" s="12"/>
      <x:c r="D129" s="18"/>
      <x:c r="E129" s="18"/>
      <x:c r="F129" s="18"/>
      <x:c r="G129" s="12"/>
      <x:c r="H129" s="12"/>
      <x:c r="I129" s="12"/>
      <x:c r="J129" s="12"/>
      <x:c r="K129" s="12"/>
      <x:c r="L129" s="12"/>
    </x:row>
    <x:row r="130">
      <x:c r="A130" s="12"/>
      <x:c r="B130" s="12"/>
      <x:c r="C130" s="12"/>
      <x:c r="D130" s="18"/>
      <x:c r="E130" s="18"/>
      <x:c r="F130" s="18"/>
      <x:c r="G130" s="12"/>
      <x:c r="H130" s="12"/>
      <x:c r="I130" s="12"/>
      <x:c r="J130" s="12"/>
      <x:c r="K130" s="12"/>
      <x:c r="L130" s="12"/>
    </x:row>
    <x:row r="131">
      <x:c r="A131" s="12"/>
      <x:c r="B131" s="12"/>
      <x:c r="C131" s="12"/>
      <x:c r="D131" s="18"/>
      <x:c r="E131" s="18"/>
      <x:c r="F131" s="18"/>
      <x:c r="G131" s="12"/>
      <x:c r="H131" s="12"/>
      <x:c r="I131" s="12"/>
      <x:c r="J131" s="12"/>
      <x:c r="K131" s="12"/>
      <x:c r="L131" s="12"/>
    </x:row>
    <x:row r="132">
      <x:c r="A132" s="12"/>
      <x:c r="B132" s="12"/>
      <x:c r="C132" s="12"/>
      <x:c r="D132" s="18"/>
      <x:c r="E132" s="18"/>
      <x:c r="F132" s="18"/>
      <x:c r="G132" s="12"/>
      <x:c r="H132" s="12"/>
      <x:c r="I132" s="12"/>
      <x:c r="J132" s="12"/>
      <x:c r="K132" s="12"/>
      <x:c r="L132" s="12"/>
    </x:row>
    <x:row r="133">
      <x:c r="A133" s="12"/>
      <x:c r="B133" s="12"/>
      <x:c r="C133" s="12"/>
      <x:c r="D133" s="18"/>
      <x:c r="E133" s="18"/>
      <x:c r="F133" s="18"/>
      <x:c r="G133" s="12"/>
      <x:c r="H133" s="12"/>
      <x:c r="I133" s="12"/>
      <x:c r="J133" s="12"/>
      <x:c r="K133" s="12"/>
      <x:c r="L133" s="12"/>
    </x:row>
    <x:row r="134">
      <x:c r="A134" s="12"/>
      <x:c r="B134" s="12"/>
      <x:c r="C134" s="12"/>
      <x:c r="D134" s="18"/>
      <x:c r="E134" s="18"/>
      <x:c r="F134" s="18"/>
      <x:c r="G134" s="12"/>
      <x:c r="H134" s="12"/>
      <x:c r="I134" s="12"/>
      <x:c r="J134" s="12"/>
      <x:c r="K134" s="12"/>
      <x:c r="L134" s="12"/>
    </x:row>
    <x:row r="135">
      <x:c r="A135" s="12"/>
      <x:c r="B135" s="12"/>
      <x:c r="C135" s="12"/>
      <x:c r="D135" s="18"/>
      <x:c r="E135" s="18"/>
      <x:c r="F135" s="18"/>
      <x:c r="G135" s="12"/>
      <x:c r="H135" s="12"/>
      <x:c r="I135" s="12"/>
      <x:c r="J135" s="12"/>
      <x:c r="K135" s="12"/>
      <x:c r="L135" s="12"/>
    </x:row>
    <x:row r="136">
      <x:c r="A136" s="12"/>
      <x:c r="B136" s="12"/>
      <x:c r="C136" s="12"/>
      <x:c r="D136" s="18"/>
      <x:c r="E136" s="18"/>
      <x:c r="F136" s="18"/>
      <x:c r="G136" s="12"/>
      <x:c r="H136" s="12"/>
      <x:c r="I136" s="12"/>
      <x:c r="J136" s="12"/>
      <x:c r="K136" s="12"/>
      <x:c r="L136" s="12"/>
    </x:row>
    <x:row r="137">
      <x:c r="A137" s="12"/>
      <x:c r="B137" s="12"/>
      <x:c r="C137" s="12"/>
      <x:c r="D137" s="18"/>
      <x:c r="E137" s="18"/>
      <x:c r="F137" s="18"/>
      <x:c r="G137" s="12"/>
      <x:c r="H137" s="12"/>
      <x:c r="I137" s="12"/>
      <x:c r="J137" s="12"/>
      <x:c r="K137" s="12"/>
      <x:c r="L137" s="12"/>
    </x:row>
    <x:row r="138">
      <x:c r="A138" s="12"/>
      <x:c r="B138" s="12"/>
      <x:c r="C138" s="12"/>
      <x:c r="D138" s="18"/>
      <x:c r="E138" s="18"/>
      <x:c r="F138" s="18"/>
      <x:c r="G138" s="12"/>
      <x:c r="H138" s="12"/>
      <x:c r="I138" s="12"/>
      <x:c r="J138" s="12"/>
      <x:c r="K138" s="12"/>
      <x:c r="L138" s="12"/>
    </x:row>
    <x:row r="139">
      <x:c r="A139" s="12"/>
      <x:c r="B139" s="12"/>
      <x:c r="C139" s="12"/>
      <x:c r="D139" s="18"/>
      <x:c r="E139" s="18"/>
      <x:c r="F139" s="18"/>
      <x:c r="G139" s="12"/>
      <x:c r="H139" s="12"/>
      <x:c r="I139" s="12"/>
      <x:c r="J139" s="12"/>
      <x:c r="K139" s="12"/>
      <x:c r="L139" s="12"/>
    </x:row>
    <x:row r="140">
      <x:c r="A140" s="12"/>
      <x:c r="B140" s="12"/>
      <x:c r="C140" s="12"/>
      <x:c r="D140" s="18"/>
      <x:c r="E140" s="18"/>
      <x:c r="F140" s="18"/>
      <x:c r="G140" s="12"/>
      <x:c r="H140" s="12"/>
      <x:c r="I140" s="12"/>
      <x:c r="J140" s="12"/>
      <x:c r="K140" s="12"/>
      <x:c r="L140" s="12"/>
    </x:row>
    <x:row r="141">
      <x:c r="A141" s="12"/>
      <x:c r="B141" s="12"/>
      <x:c r="C141" s="12"/>
      <x:c r="D141" s="18"/>
      <x:c r="E141" s="18"/>
      <x:c r="F141" s="18"/>
      <x:c r="G141" s="12"/>
      <x:c r="H141" s="12"/>
      <x:c r="I141" s="12"/>
      <x:c r="J141" s="12"/>
      <x:c r="K141" s="12"/>
      <x:c r="L141" s="12"/>
    </x:row>
    <x:row r="142">
      <x:c r="A142" s="12"/>
      <x:c r="B142" s="12"/>
      <x:c r="C142" s="12"/>
      <x:c r="D142" s="18"/>
      <x:c r="E142" s="18"/>
      <x:c r="F142" s="18"/>
      <x:c r="G142" s="12"/>
      <x:c r="H142" s="12"/>
      <x:c r="I142" s="12"/>
      <x:c r="J142" s="12"/>
      <x:c r="K142" s="12"/>
      <x:c r="L142" s="12"/>
    </x:row>
    <x:row r="143">
      <x:c r="A143" s="12"/>
      <x:c r="B143" s="12"/>
      <x:c r="C143" s="12"/>
      <x:c r="D143" s="18"/>
      <x:c r="E143" s="18"/>
      <x:c r="F143" s="18"/>
      <x:c r="G143" s="12"/>
      <x:c r="H143" s="12"/>
      <x:c r="I143" s="12"/>
      <x:c r="J143" s="12"/>
      <x:c r="K143" s="12"/>
      <x:c r="L143" s="12"/>
    </x:row>
    <x:row r="144">
      <x:c r="A144" s="12"/>
      <x:c r="B144" s="12"/>
      <x:c r="C144" s="12"/>
      <x:c r="D144" s="18"/>
      <x:c r="E144" s="18"/>
      <x:c r="F144" s="18"/>
      <x:c r="G144" s="12"/>
      <x:c r="H144" s="12"/>
      <x:c r="I144" s="12"/>
      <x:c r="J144" s="12"/>
      <x:c r="K144" s="12"/>
      <x:c r="L144" s="12"/>
    </x:row>
    <x:row r="145">
      <x:c r="A145" s="12"/>
      <x:c r="B145" s="12"/>
      <x:c r="C145" s="12"/>
      <x:c r="D145" s="18"/>
      <x:c r="E145" s="18"/>
      <x:c r="F145" s="18"/>
      <x:c r="G145" s="12"/>
      <x:c r="H145" s="12"/>
      <x:c r="I145" s="12"/>
      <x:c r="J145" s="12"/>
      <x:c r="K145" s="12"/>
      <x:c r="L145" s="12"/>
    </x:row>
    <x:row r="146">
      <x:c r="A146" s="12"/>
      <x:c r="B146" s="12"/>
      <x:c r="C146" s="12"/>
      <x:c r="D146" s="18"/>
      <x:c r="E146" s="18"/>
      <x:c r="F146" s="18"/>
      <x:c r="G146" s="12"/>
      <x:c r="H146" s="12"/>
      <x:c r="I146" s="12"/>
      <x:c r="J146" s="12"/>
      <x:c r="K146" s="12"/>
      <x:c r="L146" s="12"/>
    </x:row>
    <x:row r="147">
      <x:c r="A147" s="12"/>
      <x:c r="B147" s="12"/>
      <x:c r="C147" s="12"/>
      <x:c r="D147" s="18"/>
      <x:c r="E147" s="18"/>
      <x:c r="F147" s="18"/>
      <x:c r="G147" s="12"/>
      <x:c r="H147" s="12"/>
      <x:c r="I147" s="12"/>
      <x:c r="J147" s="12"/>
      <x:c r="K147" s="12"/>
      <x:c r="L147" s="12"/>
    </x:row>
    <x:row r="148">
      <x:c r="A148" s="12"/>
      <x:c r="B148" s="12"/>
      <x:c r="C148" s="12"/>
      <x:c r="D148" s="18"/>
      <x:c r="E148" s="18"/>
      <x:c r="F148" s="18"/>
      <x:c r="G148" s="12"/>
      <x:c r="H148" s="12"/>
      <x:c r="I148" s="12"/>
      <x:c r="J148" s="12"/>
      <x:c r="K148" s="12"/>
      <x:c r="L148" s="12"/>
    </x:row>
    <x:row r="149">
      <x:c r="A149" s="12"/>
      <x:c r="B149" s="12"/>
      <x:c r="C149" s="12"/>
      <x:c r="D149" s="18"/>
      <x:c r="E149" s="18"/>
      <x:c r="F149" s="18"/>
      <x:c r="G149" s="12"/>
      <x:c r="H149" s="12"/>
      <x:c r="I149" s="12"/>
      <x:c r="J149" s="12"/>
      <x:c r="K149" s="12"/>
      <x:c r="L149" s="12"/>
    </x:row>
    <x:row r="150">
      <x:c r="A150" s="12"/>
      <x:c r="B150" s="12"/>
      <x:c r="C150" s="12"/>
      <x:c r="D150" s="18"/>
      <x:c r="E150" s="18"/>
      <x:c r="F150" s="18"/>
      <x:c r="G150" s="12"/>
      <x:c r="H150" s="12"/>
      <x:c r="I150" s="12"/>
      <x:c r="J150" s="12"/>
      <x:c r="K150" s="12"/>
      <x:c r="L150" s="12"/>
    </x:row>
    <x:row r="151">
      <x:c r="A151" s="12"/>
      <x:c r="B151" s="12"/>
      <x:c r="C151" s="12"/>
      <x:c r="D151" s="18"/>
      <x:c r="E151" s="18"/>
      <x:c r="F151" s="18"/>
      <x:c r="G151" s="12"/>
      <x:c r="H151" s="12"/>
      <x:c r="I151" s="12"/>
      <x:c r="J151" s="12"/>
      <x:c r="K151" s="12"/>
      <x:c r="L151" s="12"/>
    </x:row>
    <x:row r="152">
      <x:c r="A152" s="12"/>
      <x:c r="B152" s="12"/>
      <x:c r="C152" s="12"/>
      <x:c r="D152" s="18"/>
      <x:c r="E152" s="18"/>
      <x:c r="F152" s="18"/>
      <x:c r="G152" s="12"/>
      <x:c r="H152" s="12"/>
      <x:c r="I152" s="12"/>
      <x:c r="J152" s="12"/>
      <x:c r="K152" s="12"/>
      <x:c r="L152" s="12"/>
    </x:row>
    <x:row r="153">
      <x:c r="A153" s="12"/>
      <x:c r="B153" s="12"/>
      <x:c r="C153" s="12"/>
      <x:c r="D153" s="18"/>
      <x:c r="E153" s="18"/>
      <x:c r="F153" s="18"/>
      <x:c r="G153" s="12"/>
      <x:c r="H153" s="12"/>
      <x:c r="I153" s="12"/>
      <x:c r="J153" s="12"/>
      <x:c r="K153" s="12"/>
      <x:c r="L153" s="12"/>
    </x:row>
    <x:row r="154">
      <x:c r="A154" s="12"/>
      <x:c r="B154" s="12"/>
      <x:c r="C154" s="12"/>
      <x:c r="D154" s="18"/>
      <x:c r="E154" s="18"/>
      <x:c r="F154" s="18"/>
      <x:c r="G154" s="12"/>
      <x:c r="H154" s="12"/>
      <x:c r="I154" s="12"/>
      <x:c r="J154" s="12"/>
      <x:c r="K154" s="12"/>
      <x:c r="L154" s="12"/>
    </x:row>
    <x:row r="155">
      <x:c r="A155" s="12"/>
      <x:c r="B155" s="12"/>
      <x:c r="C155" s="12"/>
      <x:c r="D155" s="18"/>
      <x:c r="E155" s="18"/>
      <x:c r="F155" s="18"/>
      <x:c r="G155" s="12"/>
      <x:c r="H155" s="12"/>
      <x:c r="I155" s="12"/>
      <x:c r="J155" s="12"/>
      <x:c r="K155" s="12"/>
      <x:c r="L155" s="12"/>
    </x:row>
    <x:row r="156">
      <x:c r="A156" s="12"/>
      <x:c r="B156" s="12"/>
      <x:c r="C156" s="12"/>
      <x:c r="D156" s="18"/>
      <x:c r="E156" s="18"/>
      <x:c r="F156" s="18"/>
      <x:c r="G156" s="12"/>
      <x:c r="H156" s="12"/>
      <x:c r="I156" s="12"/>
      <x:c r="J156" s="12"/>
      <x:c r="K156" s="12"/>
      <x:c r="L156" s="12"/>
    </x:row>
    <x:row r="157">
      <x:c r="A157" s="12"/>
      <x:c r="B157" s="12"/>
      <x:c r="C157" s="12"/>
      <x:c r="D157" s="18"/>
      <x:c r="E157" s="18"/>
      <x:c r="F157" s="18"/>
      <x:c r="G157" s="12"/>
      <x:c r="H157" s="12"/>
      <x:c r="I157" s="12"/>
      <x:c r="J157" s="12"/>
      <x:c r="K157" s="12"/>
      <x:c r="L157" s="12"/>
    </x:row>
    <x:row r="158">
      <x:c r="A158" s="12"/>
      <x:c r="B158" s="12"/>
      <x:c r="C158" s="12"/>
      <x:c r="D158" s="18"/>
      <x:c r="E158" s="18"/>
      <x:c r="F158" s="18"/>
      <x:c r="G158" s="12"/>
      <x:c r="H158" s="12"/>
      <x:c r="I158" s="12"/>
      <x:c r="J158" s="12"/>
      <x:c r="K158" s="12"/>
      <x:c r="L158" s="12"/>
    </x:row>
    <x:row r="159">
      <x:c r="A159" s="12"/>
      <x:c r="B159" s="12"/>
      <x:c r="C159" s="12"/>
      <x:c r="D159" s="18"/>
      <x:c r="E159" s="18"/>
      <x:c r="F159" s="18"/>
      <x:c r="G159" s="12"/>
      <x:c r="H159" s="12"/>
      <x:c r="I159" s="12"/>
      <x:c r="J159" s="12"/>
      <x:c r="K159" s="12"/>
      <x:c r="L159" s="12"/>
    </x:row>
    <x:row r="160">
      <x:c r="A160" s="12"/>
      <x:c r="B160" s="12"/>
      <x:c r="C160" s="12"/>
      <x:c r="D160" s="18"/>
      <x:c r="E160" s="18"/>
      <x:c r="F160" s="18"/>
      <x:c r="G160" s="12"/>
      <x:c r="H160" s="12"/>
      <x:c r="I160" s="12"/>
      <x:c r="J160" s="12"/>
      <x:c r="K160" s="12"/>
      <x:c r="L160" s="12"/>
    </x:row>
    <x:row r="161">
      <x:c r="A161" s="12"/>
      <x:c r="B161" s="12"/>
      <x:c r="C161" s="12"/>
      <x:c r="D161" s="18"/>
      <x:c r="E161" s="18"/>
      <x:c r="F161" s="18"/>
      <x:c r="G161" s="12"/>
      <x:c r="H161" s="12"/>
      <x:c r="I161" s="12"/>
      <x:c r="J161" s="12"/>
      <x:c r="K161" s="12"/>
      <x:c r="L161" s="12"/>
    </x:row>
    <x:row r="162">
      <x:c r="A162" s="12"/>
      <x:c r="B162" s="12"/>
      <x:c r="C162" s="12"/>
      <x:c r="D162" s="18"/>
      <x:c r="E162" s="18"/>
      <x:c r="F162" s="18"/>
      <x:c r="G162" s="12"/>
      <x:c r="H162" s="12"/>
      <x:c r="I162" s="12"/>
      <x:c r="J162" s="12"/>
      <x:c r="K162" s="12"/>
      <x:c r="L162" s="12"/>
    </x:row>
    <x:row r="163">
      <x:c r="A163" s="12"/>
      <x:c r="B163" s="12"/>
      <x:c r="C163" s="12"/>
      <x:c r="D163" s="18"/>
      <x:c r="E163" s="18"/>
      <x:c r="F163" s="18"/>
      <x:c r="G163" s="12"/>
      <x:c r="H163" s="12"/>
      <x:c r="I163" s="12"/>
      <x:c r="J163" s="12"/>
      <x:c r="K163" s="12"/>
      <x:c r="L163" s="12"/>
    </x:row>
    <x:row r="164">
      <x:c r="A164" s="12"/>
      <x:c r="B164" s="12"/>
      <x:c r="C164" s="12"/>
      <x:c r="D164" s="18"/>
      <x:c r="E164" s="18"/>
      <x:c r="F164" s="18"/>
      <x:c r="G164" s="12"/>
      <x:c r="H164" s="12"/>
      <x:c r="I164" s="12"/>
      <x:c r="J164" s="12"/>
      <x:c r="K164" s="12"/>
      <x:c r="L164" s="12"/>
    </x:row>
    <x:row r="165">
      <x:c r="A165" s="12"/>
      <x:c r="B165" s="12"/>
      <x:c r="C165" s="12"/>
      <x:c r="D165" s="18"/>
      <x:c r="E165" s="18"/>
      <x:c r="F165" s="18"/>
      <x:c r="G165" s="12"/>
      <x:c r="H165" s="12"/>
      <x:c r="I165" s="12"/>
      <x:c r="J165" s="12"/>
      <x:c r="K165" s="12"/>
      <x:c r="L165" s="12"/>
    </x:row>
    <x:row r="166">
      <x:c r="A166" s="12"/>
      <x:c r="B166" s="12"/>
      <x:c r="C166" s="12"/>
      <x:c r="D166" s="18"/>
      <x:c r="E166" s="18"/>
      <x:c r="F166" s="18"/>
      <x:c r="G166" s="12"/>
      <x:c r="H166" s="12"/>
      <x:c r="I166" s="12"/>
      <x:c r="J166" s="12"/>
      <x:c r="K166" s="12"/>
      <x:c r="L166" s="12"/>
    </x:row>
    <x:row r="167">
      <x:c r="A167" s="12"/>
      <x:c r="B167" s="12"/>
      <x:c r="C167" s="12"/>
      <x:c r="D167" s="18"/>
      <x:c r="E167" s="18"/>
      <x:c r="F167" s="18"/>
      <x:c r="G167" s="12"/>
      <x:c r="H167" s="12"/>
      <x:c r="I167" s="12"/>
      <x:c r="J167" s="12"/>
      <x:c r="K167" s="12"/>
      <x:c r="L167" s="12"/>
    </x:row>
    <x:row r="168">
      <x:c r="A168" s="12"/>
      <x:c r="B168" s="12"/>
      <x:c r="C168" s="12"/>
      <x:c r="D168" s="18"/>
      <x:c r="E168" s="18"/>
      <x:c r="F168" s="18"/>
      <x:c r="G168" s="12"/>
      <x:c r="H168" s="12"/>
      <x:c r="I168" s="12"/>
      <x:c r="J168" s="12"/>
      <x:c r="K168" s="12"/>
      <x:c r="L168" s="12"/>
    </x:row>
    <x:row r="169">
      <x:c r="A169" s="12"/>
      <x:c r="B169" s="12"/>
      <x:c r="C169" s="12"/>
      <x:c r="D169" s="18"/>
      <x:c r="E169" s="18"/>
      <x:c r="F169" s="18"/>
      <x:c r="G169" s="12"/>
      <x:c r="H169" s="12"/>
      <x:c r="I169" s="12"/>
      <x:c r="J169" s="12"/>
      <x:c r="K169" s="12"/>
      <x:c r="L169" s="12"/>
    </x:row>
    <x:row r="170">
      <x:c r="A170" s="12"/>
      <x:c r="B170" s="12"/>
      <x:c r="C170" s="12"/>
      <x:c r="D170" s="18"/>
      <x:c r="E170" s="18"/>
      <x:c r="F170" s="18"/>
      <x:c r="G170" s="12"/>
      <x:c r="H170" s="12"/>
      <x:c r="I170" s="12"/>
      <x:c r="J170" s="12"/>
      <x:c r="K170" s="12"/>
      <x:c r="L170" s="12"/>
    </x:row>
    <x:row r="171">
      <x:c r="A171" s="12"/>
      <x:c r="B171" s="12"/>
      <x:c r="C171" s="12"/>
      <x:c r="D171" s="18"/>
      <x:c r="E171" s="18"/>
      <x:c r="F171" s="18"/>
      <x:c r="G171" s="12"/>
      <x:c r="H171" s="12"/>
      <x:c r="I171" s="12"/>
      <x:c r="J171" s="12"/>
      <x:c r="K171" s="12"/>
      <x:c r="L171" s="12"/>
    </x:row>
    <x:row r="172">
      <x:c r="A172" s="12"/>
      <x:c r="B172" s="12"/>
      <x:c r="C172" s="12"/>
      <x:c r="D172" s="18"/>
      <x:c r="E172" s="18"/>
      <x:c r="F172" s="18"/>
      <x:c r="G172" s="12"/>
      <x:c r="H172" s="12"/>
      <x:c r="I172" s="12"/>
      <x:c r="J172" s="12"/>
      <x:c r="K172" s="12"/>
      <x:c r="L172" s="12"/>
    </x:row>
    <x:row r="173">
      <x:c r="A173" s="12"/>
      <x:c r="B173" s="12"/>
      <x:c r="C173" s="12"/>
      <x:c r="D173" s="18"/>
      <x:c r="E173" s="18"/>
      <x:c r="F173" s="18"/>
      <x:c r="G173" s="12"/>
      <x:c r="H173" s="12"/>
      <x:c r="I173" s="12"/>
      <x:c r="J173" s="12"/>
      <x:c r="K173" s="12"/>
      <x:c r="L173" s="12"/>
    </x:row>
    <x:row r="174">
      <x:c r="A174" s="12"/>
      <x:c r="B174" s="12"/>
      <x:c r="C174" s="12"/>
      <x:c r="D174" s="18"/>
      <x:c r="E174" s="18"/>
      <x:c r="F174" s="18"/>
      <x:c r="G174" s="12"/>
      <x:c r="H174" s="12"/>
      <x:c r="I174" s="12"/>
      <x:c r="J174" s="12"/>
      <x:c r="K174" s="12"/>
      <x:c r="L174" s="12"/>
    </x:row>
    <x:row r="175">
      <x:c r="A175" s="12"/>
      <x:c r="B175" s="12"/>
      <x:c r="C175" s="12"/>
      <x:c r="D175" s="18"/>
      <x:c r="E175" s="18"/>
      <x:c r="F175" s="18"/>
      <x:c r="G175" s="12"/>
      <x:c r="H175" s="12"/>
      <x:c r="I175" s="12"/>
      <x:c r="J175" s="12"/>
      <x:c r="K175" s="12"/>
      <x:c r="L175" s="12"/>
    </x:row>
    <x:row r="176">
      <x:c r="A176" s="12"/>
      <x:c r="B176" s="12"/>
      <x:c r="C176" s="12"/>
      <x:c r="D176" s="18"/>
      <x:c r="E176" s="18"/>
      <x:c r="F176" s="18"/>
      <x:c r="G176" s="12"/>
      <x:c r="H176" s="12"/>
      <x:c r="I176" s="12"/>
      <x:c r="J176" s="12"/>
      <x:c r="K176" s="12"/>
      <x:c r="L176" s="12"/>
    </x:row>
    <x:row r="177">
      <x:c r="A177" s="12"/>
      <x:c r="B177" s="12"/>
      <x:c r="C177" s="12"/>
      <x:c r="D177" s="18"/>
      <x:c r="E177" s="18"/>
      <x:c r="F177" s="18"/>
      <x:c r="G177" s="12"/>
      <x:c r="H177" s="12"/>
      <x:c r="I177" s="12"/>
      <x:c r="J177" s="12"/>
      <x:c r="K177" s="12"/>
      <x:c r="L177" s="12"/>
    </x:row>
    <x:row r="178">
      <x:c r="A178" s="12"/>
      <x:c r="B178" s="12"/>
      <x:c r="C178" s="12"/>
      <x:c r="D178" s="18"/>
      <x:c r="E178" s="18"/>
      <x:c r="F178" s="18"/>
      <x:c r="G178" s="12"/>
      <x:c r="H178" s="12"/>
      <x:c r="I178" s="12"/>
      <x:c r="J178" s="12"/>
      <x:c r="K178" s="12"/>
      <x:c r="L178" s="12"/>
    </x:row>
    <x:row r="179">
      <x:c r="A179" s="12"/>
      <x:c r="B179" s="12"/>
      <x:c r="C179" s="12"/>
      <x:c r="D179" s="18"/>
      <x:c r="E179" s="18"/>
      <x:c r="F179" s="18"/>
      <x:c r="G179" s="12"/>
      <x:c r="H179" s="12"/>
      <x:c r="I179" s="12"/>
      <x:c r="J179" s="12"/>
      <x:c r="K179" s="12"/>
      <x:c r="L179" s="12"/>
    </x:row>
    <x:row r="180">
      <x:c r="A180" s="12"/>
      <x:c r="B180" s="12"/>
      <x:c r="C180" s="12"/>
      <x:c r="D180" s="18"/>
      <x:c r="E180" s="18"/>
      <x:c r="F180" s="18"/>
      <x:c r="G180" s="12"/>
      <x:c r="H180" s="12"/>
      <x:c r="I180" s="12"/>
      <x:c r="J180" s="12"/>
      <x:c r="K180" s="12"/>
      <x:c r="L180" s="12"/>
    </x:row>
    <x:row r="181">
      <x:c r="A181" s="12"/>
      <x:c r="B181" s="12"/>
      <x:c r="C181" s="12"/>
      <x:c r="D181" s="18"/>
      <x:c r="E181" s="18"/>
      <x:c r="F181" s="18"/>
      <x:c r="G181" s="12"/>
      <x:c r="H181" s="12"/>
      <x:c r="I181" s="12"/>
      <x:c r="J181" s="12"/>
      <x:c r="K181" s="12"/>
      <x:c r="L181" s="12"/>
    </x:row>
    <x:row r="182">
      <x:c r="A182" s="12"/>
      <x:c r="B182" s="12"/>
      <x:c r="C182" s="12"/>
      <x:c r="D182" s="18"/>
      <x:c r="E182" s="18"/>
      <x:c r="F182" s="18"/>
      <x:c r="G182" s="12"/>
      <x:c r="H182" s="12"/>
      <x:c r="I182" s="12"/>
      <x:c r="J182" s="12"/>
      <x:c r="K182" s="12"/>
      <x:c r="L182" s="12"/>
    </x:row>
    <x:row r="183">
      <x:c r="A183" s="12"/>
      <x:c r="B183" s="12"/>
      <x:c r="C183" s="12"/>
      <x:c r="D183" s="18"/>
      <x:c r="E183" s="18"/>
      <x:c r="F183" s="18"/>
      <x:c r="G183" s="12"/>
      <x:c r="H183" s="12"/>
      <x:c r="I183" s="12"/>
      <x:c r="J183" s="12"/>
      <x:c r="K183" s="12"/>
      <x:c r="L183" s="12"/>
    </x:row>
    <x:row r="184">
      <x:c r="A184" s="12"/>
      <x:c r="B184" s="12"/>
      <x:c r="C184" s="12"/>
      <x:c r="D184" s="18"/>
      <x:c r="E184" s="18"/>
      <x:c r="F184" s="18"/>
      <x:c r="G184" s="12"/>
      <x:c r="H184" s="12"/>
      <x:c r="I184" s="12"/>
      <x:c r="J184" s="12"/>
      <x:c r="K184" s="12"/>
      <x:c r="L184" s="12"/>
    </x:row>
    <x:row r="185">
      <x:c r="A185" s="12"/>
      <x:c r="B185" s="12"/>
      <x:c r="C185" s="12"/>
      <x:c r="D185" s="18"/>
      <x:c r="E185" s="18"/>
      <x:c r="F185" s="18"/>
      <x:c r="G185" s="12"/>
      <x:c r="H185" s="12"/>
      <x:c r="I185" s="12"/>
      <x:c r="J185" s="12"/>
      <x:c r="K185" s="12"/>
      <x:c r="L185" s="12"/>
    </x:row>
    <x:row r="186">
      <x:c r="A186" s="12"/>
      <x:c r="B186" s="12"/>
      <x:c r="C186" s="12"/>
      <x:c r="D186" s="18"/>
      <x:c r="E186" s="18"/>
      <x:c r="F186" s="18"/>
      <x:c r="G186" s="12"/>
      <x:c r="H186" s="12"/>
      <x:c r="I186" s="12"/>
      <x:c r="J186" s="12"/>
      <x:c r="K186" s="12"/>
      <x:c r="L186" s="12"/>
    </x:row>
    <x:row r="187">
      <x:c r="A187" s="12"/>
      <x:c r="B187" s="12"/>
      <x:c r="C187" s="12"/>
      <x:c r="D187" s="18"/>
      <x:c r="E187" s="18"/>
      <x:c r="F187" s="18"/>
      <x:c r="G187" s="12"/>
      <x:c r="H187" s="12"/>
      <x:c r="I187" s="12"/>
      <x:c r="J187" s="12"/>
      <x:c r="K187" s="12"/>
      <x:c r="L187" s="12"/>
    </x:row>
    <x:row r="188">
      <x:c r="A188" s="12"/>
      <x:c r="B188" s="12"/>
      <x:c r="C188" s="12"/>
      <x:c r="D188" s="18"/>
      <x:c r="E188" s="18"/>
      <x:c r="F188" s="18"/>
      <x:c r="G188" s="12"/>
      <x:c r="H188" s="12"/>
      <x:c r="I188" s="12"/>
      <x:c r="J188" s="12"/>
      <x:c r="K188" s="12"/>
      <x:c r="L188" s="12"/>
    </x:row>
    <x:row r="189">
      <x:c r="A189" s="12"/>
      <x:c r="B189" s="12"/>
      <x:c r="C189" s="12"/>
      <x:c r="D189" s="18"/>
      <x:c r="E189" s="18"/>
      <x:c r="F189" s="18"/>
      <x:c r="G189" s="12"/>
      <x:c r="H189" s="12"/>
      <x:c r="I189" s="12"/>
      <x:c r="J189" s="12"/>
      <x:c r="K189" s="12"/>
      <x:c r="L189" s="12"/>
    </x:row>
    <x:row r="190">
      <x:c r="A190" s="12"/>
      <x:c r="B190" s="12"/>
      <x:c r="C190" s="12"/>
      <x:c r="D190" s="18"/>
      <x:c r="E190" s="18"/>
      <x:c r="F190" s="18"/>
      <x:c r="G190" s="12"/>
      <x:c r="H190" s="12"/>
      <x:c r="I190" s="12"/>
      <x:c r="J190" s="12"/>
      <x:c r="K190" s="12"/>
      <x:c r="L190" s="12"/>
    </x:row>
    <x:row r="191">
      <x:c r="A191" s="12"/>
      <x:c r="B191" s="12"/>
      <x:c r="C191" s="12"/>
      <x:c r="D191" s="18"/>
      <x:c r="E191" s="18"/>
      <x:c r="F191" s="18"/>
      <x:c r="G191" s="12"/>
      <x:c r="H191" s="12"/>
      <x:c r="I191" s="12"/>
      <x:c r="J191" s="12"/>
      <x:c r="K191" s="12"/>
      <x:c r="L191" s="12"/>
    </x:row>
    <x:row r="192">
      <x:c r="A192" s="12"/>
      <x:c r="B192" s="12"/>
      <x:c r="C192" s="12"/>
      <x:c r="D192" s="18"/>
      <x:c r="E192" s="18"/>
      <x:c r="F192" s="18"/>
      <x:c r="G192" s="12"/>
      <x:c r="H192" s="12"/>
      <x:c r="I192" s="12"/>
      <x:c r="J192" s="12"/>
      <x:c r="K192" s="12"/>
      <x:c r="L192" s="12"/>
    </x:row>
    <x:row r="193">
      <x:c r="A193" s="12"/>
      <x:c r="B193" s="12"/>
      <x:c r="C193" s="12"/>
      <x:c r="D193" s="18"/>
      <x:c r="E193" s="18"/>
      <x:c r="F193" s="18"/>
      <x:c r="G193" s="12"/>
      <x:c r="H193" s="12"/>
      <x:c r="I193" s="12"/>
      <x:c r="J193" s="12"/>
      <x:c r="K193" s="12"/>
      <x:c r="L193" s="12"/>
    </x:row>
    <x:row r="194">
      <x:c r="A194" s="12"/>
      <x:c r="B194" s="12"/>
      <x:c r="C194" s="12"/>
      <x:c r="D194" s="18"/>
      <x:c r="E194" s="18"/>
      <x:c r="F194" s="18"/>
      <x:c r="G194" s="12"/>
      <x:c r="H194" s="12"/>
      <x:c r="I194" s="12"/>
      <x:c r="J194" s="12"/>
      <x:c r="K194" s="12"/>
      <x:c r="L194" s="12"/>
    </x:row>
    <x:row r="195">
      <x:c r="A195" s="12"/>
      <x:c r="B195" s="12"/>
      <x:c r="C195" s="12"/>
      <x:c r="D195" s="18"/>
      <x:c r="E195" s="18"/>
      <x:c r="F195" s="18"/>
      <x:c r="G195" s="12"/>
      <x:c r="H195" s="12"/>
      <x:c r="I195" s="12"/>
      <x:c r="J195" s="12"/>
      <x:c r="K195" s="12"/>
      <x:c r="L195" s="12"/>
    </x:row>
    <x:row r="196">
      <x:c r="A196" s="12"/>
      <x:c r="B196" s="12"/>
      <x:c r="C196" s="12"/>
      <x:c r="D196" s="18"/>
      <x:c r="E196" s="18"/>
      <x:c r="F196" s="18"/>
      <x:c r="G196" s="12"/>
      <x:c r="H196" s="12"/>
      <x:c r="I196" s="12"/>
      <x:c r="J196" s="12"/>
      <x:c r="K196" s="12"/>
      <x:c r="L196" s="12"/>
    </x:row>
    <x:row r="197">
      <x:c r="A197" s="12"/>
      <x:c r="B197" s="12"/>
      <x:c r="C197" s="12"/>
      <x:c r="D197" s="18"/>
      <x:c r="E197" s="18"/>
      <x:c r="F197" s="18"/>
      <x:c r="G197" s="12"/>
      <x:c r="H197" s="12"/>
      <x:c r="I197" s="12"/>
      <x:c r="J197" s="12"/>
      <x:c r="K197" s="12"/>
      <x:c r="L197" s="12"/>
    </x:row>
    <x:row r="198">
      <x:c r="A198" s="12"/>
      <x:c r="B198" s="12"/>
      <x:c r="C198" s="12"/>
      <x:c r="D198" s="18"/>
      <x:c r="E198" s="18"/>
      <x:c r="F198" s="18"/>
      <x:c r="G198" s="12"/>
      <x:c r="H198" s="12"/>
      <x:c r="I198" s="12"/>
      <x:c r="J198" s="12"/>
      <x:c r="K198" s="12"/>
      <x:c r="L198" s="12"/>
    </x:row>
    <x:row r="199">
      <x:c r="A199" s="12"/>
      <x:c r="B199" s="12"/>
      <x:c r="C199" s="12"/>
      <x:c r="D199" s="18"/>
      <x:c r="E199" s="18"/>
      <x:c r="F199" s="18"/>
      <x:c r="G199" s="12"/>
      <x:c r="H199" s="12"/>
      <x:c r="I199" s="12"/>
      <x:c r="J199" s="12"/>
      <x:c r="K199" s="12"/>
      <x:c r="L199" s="12"/>
    </x:row>
    <x:row r="200">
      <x:c r="A200" s="12"/>
      <x:c r="B200" s="12"/>
      <x:c r="C200" s="12"/>
      <x:c r="D200" s="18"/>
      <x:c r="E200" s="18"/>
      <x:c r="F200" s="18"/>
      <x:c r="G200" s="12"/>
      <x:c r="H200" s="12"/>
      <x:c r="I200" s="12"/>
      <x:c r="J200" s="12"/>
      <x:c r="K200" s="12"/>
      <x:c r="L200" s="12"/>
    </x:row>
    <x:row r="201">
      <x:c r="A201" s="12"/>
      <x:c r="B201" s="12"/>
      <x:c r="C201" s="12"/>
      <x:c r="D201" s="18"/>
      <x:c r="E201" s="18"/>
      <x:c r="F201" s="18"/>
      <x:c r="G201" s="12"/>
      <x:c r="H201" s="12"/>
      <x:c r="I201" s="12"/>
      <x:c r="J201" s="12"/>
      <x:c r="K201" s="12"/>
      <x:c r="L201" s="12"/>
    </x:row>
    <x:row r="202">
      <x:c r="A202" s="12"/>
      <x:c r="B202" s="12"/>
      <x:c r="C202" s="12"/>
      <x:c r="D202" s="18"/>
      <x:c r="E202" s="18"/>
      <x:c r="F202" s="18"/>
      <x:c r="G202" s="12"/>
      <x:c r="H202" s="12"/>
      <x:c r="I202" s="12"/>
      <x:c r="J202" s="12"/>
      <x:c r="K202" s="12"/>
      <x:c r="L202" s="12"/>
    </x:row>
    <x:row r="203">
      <x:c r="A203" s="12"/>
      <x:c r="B203" s="12"/>
      <x:c r="C203" s="12"/>
      <x:c r="D203" s="18"/>
      <x:c r="E203" s="18"/>
      <x:c r="F203" s="18"/>
      <x:c r="G203" s="12"/>
      <x:c r="H203" s="12"/>
      <x:c r="I203" s="12"/>
      <x:c r="J203" s="12"/>
      <x:c r="K203" s="12"/>
      <x:c r="L203" s="12"/>
    </x:row>
    <x:row r="204">
      <x:c r="A204" s="12"/>
      <x:c r="B204" s="12"/>
      <x:c r="C204" s="12"/>
      <x:c r="D204" s="18"/>
      <x:c r="E204" s="18"/>
      <x:c r="F204" s="18"/>
      <x:c r="G204" s="12"/>
      <x:c r="H204" s="12"/>
      <x:c r="I204" s="12"/>
      <x:c r="J204" s="12"/>
      <x:c r="K204" s="12"/>
      <x:c r="L204" s="12"/>
    </x:row>
    <x:row r="205">
      <x:c r="A205" s="12"/>
      <x:c r="B205" s="12"/>
      <x:c r="C205" s="12"/>
      <x:c r="D205" s="18"/>
      <x:c r="E205" s="18"/>
      <x:c r="F205" s="18"/>
      <x:c r="G205" s="12"/>
      <x:c r="H205" s="12"/>
      <x:c r="I205" s="12"/>
      <x:c r="J205" s="12"/>
      <x:c r="K205" s="12"/>
      <x:c r="L205" s="12"/>
    </x:row>
    <x:row r="206">
      <x:c r="A206" s="12"/>
      <x:c r="B206" s="12"/>
      <x:c r="C206" s="12"/>
      <x:c r="D206" s="18"/>
      <x:c r="E206" s="18"/>
      <x:c r="F206" s="18"/>
      <x:c r="G206" s="12"/>
      <x:c r="H206" s="12"/>
      <x:c r="I206" s="12"/>
      <x:c r="J206" s="12"/>
      <x:c r="K206" s="12"/>
      <x:c r="L206" s="12"/>
    </x:row>
    <x:row r="207">
      <x:c r="A207" s="12"/>
      <x:c r="B207" s="12"/>
      <x:c r="C207" s="12"/>
      <x:c r="D207" s="18"/>
      <x:c r="E207" s="18"/>
      <x:c r="F207" s="18"/>
      <x:c r="G207" s="12"/>
      <x:c r="H207" s="12"/>
      <x:c r="I207" s="12"/>
      <x:c r="J207" s="12"/>
      <x:c r="K207" s="12"/>
      <x:c r="L207" s="12"/>
    </x:row>
    <x:row r="208">
      <x:c r="A208" s="12"/>
      <x:c r="B208" s="12"/>
      <x:c r="C208" s="12"/>
      <x:c r="D208" s="18"/>
      <x:c r="E208" s="18"/>
      <x:c r="F208" s="18"/>
      <x:c r="G208" s="12"/>
      <x:c r="H208" s="12"/>
      <x:c r="I208" s="12"/>
      <x:c r="J208" s="12"/>
      <x:c r="K208" s="12"/>
      <x:c r="L208" s="12"/>
    </x:row>
    <x:row r="209">
      <x:c r="A209" s="12"/>
      <x:c r="B209" s="12"/>
      <x:c r="C209" s="12"/>
      <x:c r="D209" s="18"/>
      <x:c r="E209" s="18"/>
      <x:c r="F209" s="18"/>
      <x:c r="G209" s="12"/>
      <x:c r="H209" s="12"/>
      <x:c r="I209" s="12"/>
      <x:c r="J209" s="12"/>
      <x:c r="K209" s="12"/>
      <x:c r="L209" s="12"/>
    </x:row>
    <x:row r="210">
      <x:c r="A210" s="12"/>
      <x:c r="B210" s="12"/>
      <x:c r="C210" s="12"/>
      <x:c r="D210" s="18"/>
      <x:c r="E210" s="18"/>
      <x:c r="F210" s="18"/>
      <x:c r="G210" s="12"/>
      <x:c r="H210" s="12"/>
      <x:c r="I210" s="12"/>
      <x:c r="J210" s="12"/>
      <x:c r="K210" s="12"/>
      <x:c r="L210" s="12"/>
    </x:row>
    <x:row r="211">
      <x:c r="A211" s="12"/>
      <x:c r="B211" s="12"/>
      <x:c r="C211" s="12"/>
      <x:c r="D211" s="18"/>
      <x:c r="E211" s="18"/>
      <x:c r="F211" s="18"/>
      <x:c r="G211" s="12"/>
      <x:c r="H211" s="12"/>
      <x:c r="I211" s="12"/>
      <x:c r="J211" s="12"/>
      <x:c r="K211" s="12"/>
      <x:c r="L211" s="12"/>
    </x:row>
    <x:row r="212">
      <x:c r="A212" s="12"/>
      <x:c r="B212" s="12"/>
      <x:c r="C212" s="12"/>
      <x:c r="D212" s="18"/>
      <x:c r="E212" s="18"/>
      <x:c r="F212" s="18"/>
      <x:c r="G212" s="12"/>
      <x:c r="H212" s="12"/>
      <x:c r="I212" s="12"/>
      <x:c r="J212" s="12"/>
      <x:c r="K212" s="12"/>
      <x:c r="L212" s="12"/>
    </x:row>
    <x:row r="213">
      <x:c r="A213" s="12"/>
      <x:c r="B213" s="12"/>
      <x:c r="C213" s="12"/>
      <x:c r="D213" s="18"/>
      <x:c r="E213" s="18"/>
      <x:c r="F213" s="18"/>
      <x:c r="G213" s="12"/>
      <x:c r="H213" s="12"/>
      <x:c r="I213" s="12"/>
      <x:c r="J213" s="12"/>
      <x:c r="K213" s="12"/>
      <x:c r="L213" s="12"/>
    </x:row>
    <x:row r="214">
      <x:c r="A214" s="12"/>
      <x:c r="B214" s="12"/>
      <x:c r="C214" s="12"/>
      <x:c r="D214" s="18"/>
      <x:c r="E214" s="18"/>
      <x:c r="F214" s="18"/>
      <x:c r="G214" s="12"/>
      <x:c r="H214" s="12"/>
      <x:c r="I214" s="12"/>
      <x:c r="J214" s="12"/>
      <x:c r="K214" s="12"/>
      <x:c r="L214" s="12"/>
    </x:row>
    <x:row r="215">
      <x:c r="A215" s="12"/>
      <x:c r="B215" s="12"/>
      <x:c r="C215" s="12"/>
      <x:c r="D215" s="18"/>
      <x:c r="E215" s="18"/>
      <x:c r="F215" s="18"/>
      <x:c r="G215" s="12"/>
      <x:c r="H215" s="12"/>
      <x:c r="I215" s="12"/>
      <x:c r="J215" s="12"/>
      <x:c r="K215" s="12"/>
      <x:c r="L215" s="12"/>
    </x:row>
    <x:row r="216">
      <x:c r="A216" s="12"/>
      <x:c r="B216" s="12"/>
      <x:c r="C216" s="12"/>
      <x:c r="D216" s="18"/>
      <x:c r="E216" s="18"/>
      <x:c r="F216" s="18"/>
      <x:c r="G216" s="12"/>
      <x:c r="H216" s="12"/>
      <x:c r="I216" s="12"/>
      <x:c r="J216" s="12"/>
      <x:c r="K216" s="12"/>
      <x:c r="L216" s="12"/>
    </x:row>
    <x:row r="217">
      <x:c r="A217" s="12"/>
      <x:c r="B217" s="12"/>
      <x:c r="C217" s="12"/>
      <x:c r="D217" s="18"/>
      <x:c r="E217" s="18"/>
      <x:c r="F217" s="18"/>
      <x:c r="G217" s="12"/>
      <x:c r="H217" s="12"/>
      <x:c r="I217" s="12"/>
      <x:c r="J217" s="12"/>
      <x:c r="K217" s="12"/>
      <x:c r="L217" s="12"/>
    </x:row>
    <x:row r="218">
      <x:c r="A218" s="12"/>
      <x:c r="B218" s="12"/>
      <x:c r="C218" s="12"/>
      <x:c r="D218" s="18"/>
      <x:c r="E218" s="18"/>
      <x:c r="F218" s="18"/>
      <x:c r="G218" s="12"/>
      <x:c r="H218" s="12"/>
      <x:c r="I218" s="12"/>
      <x:c r="J218" s="12"/>
      <x:c r="K218" s="12"/>
      <x:c r="L218" s="12"/>
    </x:row>
    <x:row r="219">
      <x:c r="A219" s="12"/>
      <x:c r="B219" s="12"/>
      <x:c r="C219" s="12"/>
      <x:c r="D219" s="18"/>
      <x:c r="E219" s="18"/>
      <x:c r="F219" s="18"/>
      <x:c r="G219" s="12"/>
      <x:c r="H219" s="12"/>
      <x:c r="I219" s="12"/>
      <x:c r="J219" s="12"/>
      <x:c r="K219" s="12"/>
      <x:c r="L219" s="12"/>
    </x:row>
    <x:row r="220">
      <x:c r="A220" s="12"/>
      <x:c r="B220" s="12"/>
      <x:c r="C220" s="12"/>
      <x:c r="D220" s="18"/>
      <x:c r="E220" s="18"/>
      <x:c r="F220" s="18"/>
      <x:c r="G220" s="12"/>
      <x:c r="H220" s="12"/>
      <x:c r="I220" s="12"/>
      <x:c r="J220" s="12"/>
      <x:c r="K220" s="12"/>
      <x:c r="L220" s="12"/>
    </x:row>
    <x:row r="221">
      <x:c r="A221" s="12"/>
      <x:c r="B221" s="12"/>
      <x:c r="C221" s="12"/>
      <x:c r="D221" s="18"/>
      <x:c r="E221" s="18"/>
      <x:c r="F221" s="18"/>
      <x:c r="G221" s="12"/>
      <x:c r="H221" s="12"/>
      <x:c r="I221" s="12"/>
      <x:c r="J221" s="12"/>
      <x:c r="K221" s="12"/>
      <x:c r="L221" s="12"/>
    </x:row>
    <x:row r="222">
      <x:c r="A222" s="12"/>
      <x:c r="B222" s="12"/>
      <x:c r="C222" s="12"/>
      <x:c r="D222" s="18"/>
      <x:c r="E222" s="18"/>
      <x:c r="F222" s="18"/>
      <x:c r="G222" s="12"/>
      <x:c r="H222" s="12"/>
      <x:c r="I222" s="12"/>
      <x:c r="J222" s="12"/>
      <x:c r="K222" s="12"/>
      <x:c r="L222" s="12"/>
    </x:row>
    <x:row r="223">
      <x:c r="A223" s="12"/>
      <x:c r="B223" s="12"/>
      <x:c r="C223" s="12"/>
      <x:c r="D223" s="18"/>
      <x:c r="E223" s="18"/>
      <x:c r="F223" s="18"/>
      <x:c r="G223" s="12"/>
      <x:c r="H223" s="12"/>
      <x:c r="I223" s="12"/>
      <x:c r="J223" s="12"/>
      <x:c r="K223" s="12"/>
      <x:c r="L223" s="12"/>
    </x:row>
    <x:row r="224">
      <x:c r="A224" s="12"/>
      <x:c r="B224" s="12"/>
      <x:c r="C224" s="12"/>
      <x:c r="D224" s="18"/>
      <x:c r="E224" s="18"/>
      <x:c r="F224" s="18"/>
      <x:c r="G224" s="12"/>
      <x:c r="H224" s="12"/>
      <x:c r="I224" s="12"/>
      <x:c r="J224" s="12"/>
      <x:c r="K224" s="12"/>
      <x:c r="L224" s="12"/>
    </x:row>
    <x:row r="225">
      <x:c r="A225" s="12"/>
      <x:c r="B225" s="12"/>
      <x:c r="C225" s="12"/>
      <x:c r="D225" s="18"/>
      <x:c r="E225" s="18"/>
      <x:c r="F225" s="18"/>
      <x:c r="G225" s="12"/>
      <x:c r="H225" s="12"/>
      <x:c r="I225" s="12"/>
      <x:c r="J225" s="12"/>
      <x:c r="K225" s="12"/>
      <x:c r="L225" s="12"/>
    </x:row>
    <x:row r="226">
      <x:c r="A226" s="12"/>
      <x:c r="B226" s="12"/>
      <x:c r="C226" s="12"/>
      <x:c r="D226" s="18"/>
      <x:c r="E226" s="18"/>
      <x:c r="F226" s="18"/>
      <x:c r="G226" s="12"/>
      <x:c r="H226" s="12"/>
      <x:c r="I226" s="12"/>
      <x:c r="J226" s="12"/>
      <x:c r="K226" s="12"/>
      <x:c r="L226" s="12"/>
    </x:row>
    <x:row r="227">
      <x:c r="A227" s="12"/>
      <x:c r="B227" s="12"/>
      <x:c r="C227" s="12"/>
      <x:c r="D227" s="18"/>
      <x:c r="E227" s="18"/>
      <x:c r="F227" s="18"/>
      <x:c r="G227" s="12"/>
      <x:c r="H227" s="12"/>
      <x:c r="I227" s="12"/>
      <x:c r="J227" s="12"/>
      <x:c r="K227" s="12"/>
      <x:c r="L227" s="12"/>
    </x:row>
    <x:row r="228">
      <x:c r="A228" s="12"/>
      <x:c r="B228" s="12"/>
      <x:c r="C228" s="12"/>
      <x:c r="D228" s="18"/>
      <x:c r="E228" s="18"/>
      <x:c r="F228" s="18"/>
      <x:c r="G228" s="12"/>
      <x:c r="H228" s="12"/>
      <x:c r="I228" s="12"/>
      <x:c r="J228" s="12"/>
      <x:c r="K228" s="12"/>
      <x:c r="L228" s="12"/>
    </x:row>
    <x:row r="229">
      <x:c r="A229" s="12"/>
      <x:c r="B229" s="12"/>
      <x:c r="C229" s="12"/>
      <x:c r="D229" s="18"/>
      <x:c r="E229" s="18"/>
      <x:c r="F229" s="18"/>
      <x:c r="G229" s="12"/>
      <x:c r="H229" s="12"/>
      <x:c r="I229" s="12"/>
      <x:c r="J229" s="12"/>
      <x:c r="K229" s="12"/>
      <x:c r="L229" s="12"/>
    </x:row>
    <x:row r="230">
      <x:c r="A230" s="12"/>
      <x:c r="B230" s="12"/>
      <x:c r="C230" s="12"/>
      <x:c r="D230" s="18"/>
      <x:c r="E230" s="18"/>
      <x:c r="F230" s="18"/>
      <x:c r="G230" s="12"/>
      <x:c r="H230" s="12"/>
      <x:c r="I230" s="12"/>
      <x:c r="J230" s="12"/>
      <x:c r="K230" s="12"/>
      <x:c r="L230" s="12"/>
    </x:row>
    <x:row r="231">
      <x:c r="A231" s="12"/>
      <x:c r="B231" s="12"/>
      <x:c r="C231" s="12"/>
      <x:c r="D231" s="18"/>
      <x:c r="E231" s="18"/>
      <x:c r="F231" s="18"/>
      <x:c r="G231" s="12"/>
      <x:c r="H231" s="12"/>
      <x:c r="I231" s="12"/>
      <x:c r="J231" s="12"/>
      <x:c r="K231" s="12"/>
      <x:c r="L231" s="12"/>
    </x:row>
    <x:row r="232">
      <x:c r="A232" s="12"/>
      <x:c r="B232" s="12"/>
      <x:c r="C232" s="12"/>
      <x:c r="D232" s="18"/>
      <x:c r="E232" s="18"/>
      <x:c r="F232" s="18"/>
      <x:c r="G232" s="12"/>
      <x:c r="H232" s="12"/>
      <x:c r="I232" s="12"/>
      <x:c r="J232" s="12"/>
      <x:c r="K232" s="12"/>
      <x:c r="L232" s="12"/>
    </x:row>
    <x:row r="233">
      <x:c r="A233" s="12"/>
      <x:c r="B233" s="12"/>
      <x:c r="C233" s="12"/>
      <x:c r="D233" s="18"/>
      <x:c r="E233" s="18"/>
      <x:c r="F233" s="18"/>
      <x:c r="G233" s="12"/>
      <x:c r="H233" s="12"/>
      <x:c r="I233" s="12"/>
      <x:c r="J233" s="12"/>
      <x:c r="K233" s="12"/>
      <x:c r="L233" s="12"/>
    </x:row>
    <x:row r="234">
      <x:c r="A234" s="12"/>
      <x:c r="B234" s="12"/>
      <x:c r="C234" s="12"/>
      <x:c r="D234" s="18"/>
      <x:c r="E234" s="18"/>
      <x:c r="F234" s="18"/>
      <x:c r="G234" s="12"/>
      <x:c r="H234" s="12"/>
      <x:c r="I234" s="12"/>
      <x:c r="J234" s="12"/>
      <x:c r="K234" s="12"/>
      <x:c r="L234" s="12"/>
    </x:row>
    <x:row r="235">
      <x:c r="A235" s="12"/>
      <x:c r="B235" s="12"/>
      <x:c r="C235" s="12"/>
      <x:c r="D235" s="18"/>
      <x:c r="E235" s="18"/>
      <x:c r="F235" s="18"/>
      <x:c r="G235" s="12"/>
      <x:c r="H235" s="12"/>
      <x:c r="I235" s="12"/>
      <x:c r="J235" s="12"/>
      <x:c r="K235" s="12"/>
      <x:c r="L235" s="12"/>
    </x:row>
    <x:row r="236">
      <x:c r="A236" s="12"/>
      <x:c r="B236" s="12"/>
      <x:c r="C236" s="12"/>
      <x:c r="D236" s="18"/>
      <x:c r="E236" s="18"/>
      <x:c r="F236" s="18"/>
      <x:c r="G236" s="12"/>
      <x:c r="H236" s="12"/>
      <x:c r="I236" s="12"/>
      <x:c r="J236" s="12"/>
      <x:c r="K236" s="12"/>
      <x:c r="L236" s="12"/>
    </x:row>
    <x:row r="237">
      <x:c r="A237" s="12"/>
      <x:c r="B237" s="12"/>
      <x:c r="C237" s="12"/>
      <x:c r="D237" s="18"/>
      <x:c r="E237" s="18"/>
      <x:c r="F237" s="18"/>
      <x:c r="G237" s="12"/>
      <x:c r="H237" s="12"/>
      <x:c r="I237" s="12"/>
      <x:c r="J237" s="12"/>
      <x:c r="K237" s="12"/>
      <x:c r="L237" s="12"/>
    </x:row>
    <x:row r="238">
      <x:c r="A238" s="12"/>
      <x:c r="B238" s="12"/>
      <x:c r="C238" s="12"/>
      <x:c r="D238" s="18"/>
      <x:c r="E238" s="18"/>
      <x:c r="F238" s="18"/>
      <x:c r="G238" s="12"/>
      <x:c r="H238" s="12"/>
      <x:c r="I238" s="12"/>
      <x:c r="J238" s="12"/>
      <x:c r="K238" s="12"/>
      <x:c r="L238" s="12"/>
    </x:row>
    <x:row r="239">
      <x:c r="A239" s="12"/>
      <x:c r="B239" s="12"/>
      <x:c r="C239" s="12"/>
      <x:c r="D239" s="18"/>
      <x:c r="E239" s="18"/>
      <x:c r="F239" s="18"/>
      <x:c r="G239" s="12"/>
      <x:c r="H239" s="12"/>
      <x:c r="I239" s="12"/>
      <x:c r="J239" s="12"/>
      <x:c r="K239" s="12"/>
      <x:c r="L239" s="12"/>
    </x:row>
    <x:row r="240">
      <x:c r="A240" s="12"/>
      <x:c r="B240" s="12"/>
      <x:c r="C240" s="12"/>
      <x:c r="D240" s="18"/>
      <x:c r="E240" s="18"/>
      <x:c r="F240" s="18"/>
      <x:c r="G240" s="12"/>
      <x:c r="H240" s="12"/>
      <x:c r="I240" s="12"/>
      <x:c r="J240" s="12"/>
      <x:c r="K240" s="12"/>
      <x:c r="L240" s="12"/>
    </x:row>
    <x:row r="241">
      <x:c r="A241" s="12"/>
      <x:c r="B241" s="12"/>
      <x:c r="C241" s="12"/>
      <x:c r="D241" s="18"/>
      <x:c r="E241" s="18"/>
      <x:c r="F241" s="18"/>
      <x:c r="G241" s="12"/>
      <x:c r="H241" s="12"/>
      <x:c r="I241" s="12"/>
      <x:c r="J241" s="12"/>
      <x:c r="K241" s="12"/>
      <x:c r="L241" s="12"/>
    </x:row>
    <x:row r="242">
      <x:c r="A242" s="12"/>
      <x:c r="B242" s="12"/>
      <x:c r="C242" s="12"/>
      <x:c r="D242" s="18"/>
      <x:c r="E242" s="18"/>
      <x:c r="F242" s="18"/>
      <x:c r="G242" s="12"/>
      <x:c r="H242" s="12"/>
      <x:c r="I242" s="12"/>
      <x:c r="J242" s="12"/>
      <x:c r="K242" s="12"/>
      <x:c r="L242" s="12"/>
    </x:row>
    <x:row r="243">
      <x:c r="A243" s="12"/>
      <x:c r="B243" s="12"/>
      <x:c r="C243" s="12"/>
      <x:c r="D243" s="18"/>
      <x:c r="E243" s="18"/>
      <x:c r="F243" s="18"/>
      <x:c r="G243" s="12"/>
      <x:c r="H243" s="12"/>
      <x:c r="I243" s="12"/>
      <x:c r="J243" s="12"/>
      <x:c r="K243" s="12"/>
      <x:c r="L243" s="12"/>
    </x:row>
    <x:row r="244">
      <x:c r="A244" s="12"/>
      <x:c r="B244" s="12"/>
      <x:c r="C244" s="12"/>
      <x:c r="D244" s="18"/>
      <x:c r="E244" s="18"/>
      <x:c r="F244" s="18"/>
      <x:c r="G244" s="12"/>
      <x:c r="H244" s="12"/>
      <x:c r="I244" s="12"/>
      <x:c r="J244" s="12"/>
      <x:c r="K244" s="12"/>
      <x:c r="L244" s="12"/>
    </x:row>
    <x:row r="245">
      <x:c r="A245" s="12"/>
      <x:c r="B245" s="12"/>
      <x:c r="C245" s="12"/>
      <x:c r="D245" s="18"/>
      <x:c r="E245" s="18"/>
      <x:c r="F245" s="18"/>
      <x:c r="G245" s="12"/>
      <x:c r="H245" s="12"/>
      <x:c r="I245" s="12"/>
      <x:c r="J245" s="12"/>
      <x:c r="K245" s="12"/>
      <x:c r="L245" s="12"/>
    </x:row>
    <x:row r="246">
      <x:c r="A246" s="12"/>
      <x:c r="B246" s="12"/>
      <x:c r="C246" s="12"/>
      <x:c r="D246" s="18"/>
      <x:c r="E246" s="18"/>
      <x:c r="F246" s="18"/>
      <x:c r="G246" s="12"/>
      <x:c r="H246" s="12"/>
      <x:c r="I246" s="12"/>
      <x:c r="J246" s="12"/>
      <x:c r="K246" s="12"/>
      <x:c r="L246" s="12"/>
    </x:row>
    <x:row r="247">
      <x:c r="A247" s="12"/>
      <x:c r="B247" s="12"/>
      <x:c r="C247" s="12"/>
      <x:c r="D247" s="18"/>
      <x:c r="E247" s="18"/>
      <x:c r="F247" s="18"/>
      <x:c r="G247" s="12"/>
      <x:c r="H247" s="12"/>
      <x:c r="I247" s="12"/>
      <x:c r="J247" s="12"/>
      <x:c r="K247" s="12"/>
      <x:c r="L247" s="12"/>
    </x:row>
    <x:row r="248">
      <x:c r="A248" s="12"/>
      <x:c r="B248" s="12"/>
      <x:c r="C248" s="12"/>
      <x:c r="D248" s="18"/>
      <x:c r="E248" s="18"/>
      <x:c r="F248" s="18"/>
      <x:c r="G248" s="12"/>
      <x:c r="H248" s="12"/>
      <x:c r="I248" s="12"/>
      <x:c r="J248" s="12"/>
      <x:c r="K248" s="12"/>
      <x:c r="L248" s="12"/>
    </x:row>
    <x:row r="249">
      <x:c r="A249" s="12"/>
      <x:c r="B249" s="12"/>
      <x:c r="C249" s="12"/>
      <x:c r="D249" s="18"/>
      <x:c r="E249" s="18"/>
      <x:c r="F249" s="18"/>
      <x:c r="G249" s="12"/>
      <x:c r="H249" s="12"/>
      <x:c r="I249" s="12"/>
      <x:c r="J249" s="12"/>
      <x:c r="K249" s="12"/>
      <x:c r="L249" s="12"/>
    </x:row>
    <x:row r="250">
      <x:c r="A250" s="12"/>
      <x:c r="B250" s="12"/>
      <x:c r="C250" s="12"/>
      <x:c r="D250" s="18"/>
      <x:c r="E250" s="18"/>
      <x:c r="F250" s="18"/>
      <x:c r="G250" s="12"/>
      <x:c r="H250" s="12"/>
      <x:c r="I250" s="12"/>
      <x:c r="J250" s="12"/>
      <x:c r="K250" s="12"/>
      <x:c r="L250" s="12"/>
    </x:row>
    <x:row r="251">
      <x:c r="A251" s="12"/>
      <x:c r="B251" s="12"/>
      <x:c r="C251" s="12"/>
      <x:c r="D251" s="18"/>
      <x:c r="E251" s="18"/>
      <x:c r="F251" s="18"/>
      <x:c r="G251" s="12"/>
      <x:c r="H251" s="12"/>
      <x:c r="I251" s="12"/>
      <x:c r="J251" s="12"/>
      <x:c r="K251" s="12"/>
      <x:c r="L251" s="12"/>
    </x:row>
    <x:row r="252">
      <x:c r="A252" s="12"/>
      <x:c r="B252" s="12"/>
      <x:c r="C252" s="12"/>
      <x:c r="D252" s="18"/>
      <x:c r="E252" s="18"/>
      <x:c r="F252" s="18"/>
      <x:c r="G252" s="12"/>
      <x:c r="H252" s="12"/>
      <x:c r="I252" s="12"/>
      <x:c r="J252" s="12"/>
      <x:c r="K252" s="12"/>
      <x:c r="L252" s="12"/>
    </x:row>
    <x:row r="253">
      <x:c r="A253" s="12"/>
      <x:c r="B253" s="12"/>
      <x:c r="C253" s="12"/>
      <x:c r="D253" s="18"/>
      <x:c r="E253" s="18"/>
      <x:c r="F253" s="18"/>
      <x:c r="G253" s="12"/>
      <x:c r="H253" s="12"/>
      <x:c r="I253" s="12"/>
      <x:c r="J253" s="12"/>
      <x:c r="K253" s="12"/>
      <x:c r="L253" s="12"/>
    </x:row>
    <x:row r="254">
      <x:c r="A254" s="12"/>
      <x:c r="B254" s="12"/>
      <x:c r="C254" s="12"/>
      <x:c r="D254" s="18"/>
      <x:c r="E254" s="18"/>
      <x:c r="F254" s="18"/>
      <x:c r="G254" s="12"/>
      <x:c r="H254" s="12"/>
      <x:c r="I254" s="12"/>
      <x:c r="J254" s="12"/>
      <x:c r="K254" s="12"/>
      <x:c r="L254" s="12"/>
    </x:row>
    <x:row r="255">
      <x:c r="A255" s="12"/>
      <x:c r="B255" s="12"/>
      <x:c r="C255" s="12"/>
      <x:c r="D255" s="18"/>
      <x:c r="E255" s="18"/>
      <x:c r="F255" s="18"/>
      <x:c r="G255" s="12"/>
      <x:c r="H255" s="12"/>
      <x:c r="I255" s="12"/>
      <x:c r="J255" s="12"/>
      <x:c r="K255" s="12"/>
      <x:c r="L255" s="12"/>
    </x:row>
    <x:row r="256">
      <x:c r="A256" s="12"/>
      <x:c r="B256" s="12"/>
      <x:c r="C256" s="12"/>
      <x:c r="D256" s="18"/>
      <x:c r="E256" s="18"/>
      <x:c r="F256" s="18"/>
      <x:c r="G256" s="12"/>
      <x:c r="H256" s="12"/>
      <x:c r="I256" s="12"/>
      <x:c r="J256" s="12"/>
      <x:c r="K256" s="12"/>
      <x:c r="L256" s="12"/>
    </x:row>
    <x:row r="257">
      <x:c r="A257" s="12"/>
      <x:c r="B257" s="12"/>
      <x:c r="C257" s="12"/>
      <x:c r="D257" s="18"/>
      <x:c r="E257" s="18"/>
      <x:c r="F257" s="18"/>
      <x:c r="G257" s="12"/>
      <x:c r="H257" s="12"/>
      <x:c r="I257" s="12"/>
      <x:c r="J257" s="12"/>
      <x:c r="K257" s="12"/>
      <x:c r="L257" s="12"/>
    </x:row>
    <x:row r="258">
      <x:c r="A258" s="12"/>
      <x:c r="B258" s="12"/>
      <x:c r="C258" s="12"/>
      <x:c r="D258" s="18"/>
      <x:c r="E258" s="18"/>
      <x:c r="F258" s="18"/>
      <x:c r="G258" s="12"/>
      <x:c r="H258" s="12"/>
      <x:c r="I258" s="12"/>
      <x:c r="J258" s="12"/>
      <x:c r="K258" s="12"/>
      <x:c r="L258" s="12"/>
    </x:row>
    <x:row r="259">
      <x:c r="A259" s="12"/>
      <x:c r="B259" s="12"/>
      <x:c r="C259" s="12"/>
      <x:c r="D259" s="18"/>
      <x:c r="E259" s="18"/>
      <x:c r="F259" s="18"/>
      <x:c r="G259" s="12"/>
      <x:c r="H259" s="12"/>
      <x:c r="I259" s="12"/>
      <x:c r="J259" s="12"/>
      <x:c r="K259" s="12"/>
      <x:c r="L259" s="12"/>
    </x:row>
    <x:row r="260">
      <x:c r="A260" s="12"/>
      <x:c r="B260" s="12"/>
      <x:c r="C260" s="12"/>
      <x:c r="D260" s="18"/>
      <x:c r="E260" s="18"/>
      <x:c r="F260" s="18"/>
      <x:c r="G260" s="12"/>
      <x:c r="H260" s="12"/>
      <x:c r="I260" s="12"/>
      <x:c r="J260" s="12"/>
      <x:c r="K260" s="12"/>
      <x:c r="L260" s="12"/>
    </x:row>
    <x:row r="261">
      <x:c r="A261" s="12"/>
      <x:c r="B261" s="12"/>
      <x:c r="C261" s="12"/>
      <x:c r="D261" s="18"/>
      <x:c r="E261" s="18"/>
      <x:c r="F261" s="18"/>
      <x:c r="G261" s="12"/>
      <x:c r="H261" s="12"/>
      <x:c r="I261" s="12"/>
      <x:c r="J261" s="12"/>
      <x:c r="K261" s="12"/>
      <x:c r="L261" s="12"/>
    </x:row>
    <x:row r="262">
      <x:c r="A262" s="12"/>
      <x:c r="B262" s="12"/>
      <x:c r="C262" s="12"/>
      <x:c r="D262" s="18"/>
      <x:c r="E262" s="18"/>
      <x:c r="F262" s="18"/>
      <x:c r="G262" s="12"/>
      <x:c r="H262" s="12"/>
      <x:c r="I262" s="12"/>
      <x:c r="J262" s="12"/>
      <x:c r="K262" s="12"/>
      <x:c r="L262" s="12"/>
    </x:row>
    <x:row r="263">
      <x:c r="A263" s="12"/>
      <x:c r="B263" s="12"/>
      <x:c r="C263" s="12"/>
      <x:c r="D263" s="18"/>
      <x:c r="E263" s="18"/>
      <x:c r="F263" s="18"/>
      <x:c r="G263" s="12"/>
      <x:c r="H263" s="12"/>
      <x:c r="I263" s="12"/>
      <x:c r="J263" s="12"/>
      <x:c r="K263" s="12"/>
      <x:c r="L263" s="12"/>
    </x:row>
    <x:row r="264">
      <x:c r="A264" s="12"/>
      <x:c r="B264" s="12"/>
      <x:c r="C264" s="12"/>
      <x:c r="D264" s="18"/>
      <x:c r="E264" s="18"/>
      <x:c r="F264" s="18"/>
      <x:c r="G264" s="12"/>
      <x:c r="H264" s="12"/>
      <x:c r="I264" s="12"/>
      <x:c r="J264" s="12"/>
      <x:c r="K264" s="12"/>
      <x:c r="L264" s="12"/>
    </x:row>
    <x:row r="265">
      <x:c r="A265" s="12"/>
      <x:c r="B265" s="12"/>
      <x:c r="C265" s="12"/>
      <x:c r="D265" s="18"/>
      <x:c r="E265" s="18"/>
      <x:c r="F265" s="18"/>
      <x:c r="G265" s="12"/>
      <x:c r="H265" s="12"/>
      <x:c r="I265" s="12"/>
      <x:c r="J265" s="12"/>
      <x:c r="K265" s="12"/>
      <x:c r="L265" s="12"/>
    </x:row>
    <x:row r="266">
      <x:c r="A266" s="12"/>
      <x:c r="B266" s="12"/>
      <x:c r="C266" s="12"/>
      <x:c r="D266" s="18"/>
      <x:c r="E266" s="18"/>
      <x:c r="F266" s="18"/>
      <x:c r="G266" s="12"/>
      <x:c r="H266" s="12"/>
      <x:c r="I266" s="12"/>
      <x:c r="J266" s="12"/>
      <x:c r="K266" s="12"/>
      <x:c r="L266" s="12"/>
    </x:row>
    <x:row r="267">
      <x:c r="A267" s="12"/>
      <x:c r="B267" s="12"/>
      <x:c r="C267" s="12"/>
      <x:c r="D267" s="18"/>
      <x:c r="E267" s="18"/>
      <x:c r="F267" s="18"/>
      <x:c r="G267" s="12"/>
      <x:c r="H267" s="12"/>
      <x:c r="I267" s="12"/>
      <x:c r="J267" s="12"/>
      <x:c r="K267" s="12"/>
      <x:c r="L267" s="12"/>
    </x:row>
    <x:row r="268">
      <x:c r="A268" s="12"/>
      <x:c r="B268" s="12"/>
      <x:c r="C268" s="12"/>
      <x:c r="D268" s="18"/>
      <x:c r="E268" s="18"/>
      <x:c r="F268" s="18"/>
      <x:c r="G268" s="12"/>
      <x:c r="H268" s="12"/>
      <x:c r="I268" s="12"/>
      <x:c r="J268" s="12"/>
      <x:c r="K268" s="12"/>
      <x:c r="L268" s="12"/>
    </x:row>
    <x:row r="269">
      <x:c r="A269" s="12"/>
      <x:c r="B269" s="12"/>
      <x:c r="C269" s="12"/>
      <x:c r="D269" s="18"/>
      <x:c r="E269" s="18"/>
      <x:c r="F269" s="18"/>
      <x:c r="G269" s="12"/>
      <x:c r="H269" s="12"/>
      <x:c r="I269" s="12"/>
      <x:c r="J269" s="12"/>
      <x:c r="K269" s="12"/>
      <x:c r="L269" s="12"/>
    </x:row>
    <x:row r="270">
      <x:c r="A270" s="12"/>
      <x:c r="B270" s="12"/>
      <x:c r="C270" s="12"/>
      <x:c r="D270" s="18"/>
      <x:c r="E270" s="18"/>
      <x:c r="F270" s="18"/>
      <x:c r="G270" s="12"/>
      <x:c r="H270" s="12"/>
      <x:c r="I270" s="12"/>
      <x:c r="J270" s="12"/>
      <x:c r="K270" s="12"/>
      <x:c r="L270" s="12"/>
    </x:row>
    <x:row r="271">
      <x:c r="A271" s="12"/>
      <x:c r="B271" s="12"/>
      <x:c r="C271" s="12"/>
      <x:c r="D271" s="18"/>
      <x:c r="E271" s="18"/>
      <x:c r="F271" s="18"/>
      <x:c r="G271" s="12"/>
      <x:c r="H271" s="12"/>
      <x:c r="I271" s="12"/>
      <x:c r="J271" s="12"/>
      <x:c r="K271" s="12"/>
      <x:c r="L271" s="12"/>
    </x:row>
    <x:row r="272">
      <x:c r="A272" s="12"/>
      <x:c r="B272" s="12"/>
      <x:c r="C272" s="12"/>
      <x:c r="D272" s="18"/>
      <x:c r="E272" s="18"/>
      <x:c r="F272" s="18"/>
      <x:c r="G272" s="12"/>
      <x:c r="H272" s="12"/>
      <x:c r="I272" s="12"/>
      <x:c r="J272" s="12"/>
      <x:c r="K272" s="12"/>
      <x:c r="L272" s="12"/>
    </x:row>
    <x:row r="273">
      <x:c r="A273" s="12"/>
      <x:c r="B273" s="12"/>
      <x:c r="C273" s="12"/>
      <x:c r="D273" s="18"/>
      <x:c r="E273" s="18"/>
      <x:c r="F273" s="18"/>
      <x:c r="G273" s="12"/>
      <x:c r="H273" s="12"/>
      <x:c r="I273" s="12"/>
      <x:c r="J273" s="12"/>
      <x:c r="K273" s="12"/>
      <x:c r="L273" s="12"/>
    </x:row>
    <x:row r="274">
      <x:c r="A274" s="12"/>
      <x:c r="B274" s="12"/>
      <x:c r="C274" s="12"/>
      <x:c r="D274" s="18"/>
      <x:c r="E274" s="18"/>
      <x:c r="F274" s="18"/>
      <x:c r="G274" s="12"/>
      <x:c r="H274" s="12"/>
      <x:c r="I274" s="12"/>
      <x:c r="J274" s="12"/>
      <x:c r="K274" s="12"/>
      <x:c r="L274" s="12"/>
    </x:row>
    <x:row r="275">
      <x:c r="A275" s="12"/>
      <x:c r="B275" s="12"/>
      <x:c r="C275" s="12"/>
      <x:c r="D275" s="18"/>
      <x:c r="E275" s="18"/>
      <x:c r="F275" s="18"/>
      <x:c r="G275" s="12"/>
      <x:c r="H275" s="12"/>
      <x:c r="I275" s="12"/>
      <x:c r="J275" s="12"/>
      <x:c r="K275" s="12"/>
      <x:c r="L275" s="12"/>
    </x:row>
    <x:row r="276">
      <x:c r="A276" s="12"/>
      <x:c r="B276" s="12"/>
      <x:c r="C276" s="12"/>
      <x:c r="D276" s="18"/>
      <x:c r="E276" s="18"/>
      <x:c r="F276" s="18"/>
      <x:c r="G276" s="12"/>
      <x:c r="H276" s="12"/>
      <x:c r="I276" s="12"/>
      <x:c r="J276" s="12"/>
      <x:c r="K276" s="12"/>
      <x:c r="L276" s="12"/>
    </x:row>
    <x:row r="277">
      <x:c r="A277" s="12"/>
      <x:c r="B277" s="12"/>
      <x:c r="C277" s="12"/>
      <x:c r="D277" s="18"/>
      <x:c r="E277" s="18"/>
      <x:c r="F277" s="18"/>
      <x:c r="G277" s="12"/>
      <x:c r="H277" s="12"/>
      <x:c r="I277" s="12"/>
      <x:c r="J277" s="12"/>
      <x:c r="K277" s="12"/>
      <x:c r="L277" s="12"/>
    </x:row>
    <x:row r="278">
      <x:c r="A278" s="12"/>
      <x:c r="B278" s="12"/>
      <x:c r="C278" s="12"/>
      <x:c r="D278" s="18"/>
      <x:c r="E278" s="18"/>
      <x:c r="F278" s="18"/>
      <x:c r="G278" s="12"/>
      <x:c r="H278" s="12"/>
      <x:c r="I278" s="12"/>
      <x:c r="J278" s="12"/>
      <x:c r="K278" s="12"/>
      <x:c r="L278" s="12"/>
    </x:row>
    <x:row r="279">
      <x:c r="A279" s="12"/>
      <x:c r="B279" s="12"/>
      <x:c r="C279" s="12"/>
      <x:c r="D279" s="18"/>
      <x:c r="E279" s="18"/>
      <x:c r="F279" s="18"/>
      <x:c r="G279" s="12"/>
      <x:c r="H279" s="12"/>
      <x:c r="I279" s="12"/>
      <x:c r="J279" s="12"/>
      <x:c r="K279" s="12"/>
      <x:c r="L279" s="12"/>
    </x:row>
    <x:row r="280">
      <x:c r="A280" s="12"/>
      <x:c r="B280" s="12"/>
      <x:c r="C280" s="12"/>
      <x:c r="D280" s="18"/>
      <x:c r="E280" s="18"/>
      <x:c r="F280" s="18"/>
      <x:c r="G280" s="12"/>
      <x:c r="H280" s="12"/>
      <x:c r="I280" s="12"/>
      <x:c r="J280" s="12"/>
      <x:c r="K280" s="12"/>
      <x:c r="L280" s="12"/>
    </x:row>
    <x:row r="281">
      <x:c r="A281" s="12"/>
      <x:c r="B281" s="12"/>
      <x:c r="C281" s="12"/>
      <x:c r="D281" s="18"/>
      <x:c r="E281" s="18"/>
      <x:c r="F281" s="18"/>
      <x:c r="G281" s="12"/>
      <x:c r="H281" s="12"/>
      <x:c r="I281" s="12"/>
      <x:c r="J281" s="12"/>
      <x:c r="K281" s="12"/>
      <x:c r="L281" s="12"/>
    </x:row>
    <x:row r="282">
      <x:c r="A282" s="12"/>
      <x:c r="B282" s="12"/>
      <x:c r="C282" s="12"/>
      <x:c r="D282" s="18"/>
      <x:c r="E282" s="18"/>
      <x:c r="F282" s="18"/>
      <x:c r="G282" s="12"/>
      <x:c r="H282" s="12"/>
      <x:c r="I282" s="12"/>
      <x:c r="J282" s="12"/>
      <x:c r="K282" s="12"/>
      <x:c r="L282" s="12"/>
    </x:row>
    <x:row r="283">
      <x:c r="A283" s="12"/>
      <x:c r="B283" s="12"/>
      <x:c r="C283" s="12"/>
      <x:c r="D283" s="18"/>
      <x:c r="E283" s="18"/>
      <x:c r="F283" s="18"/>
      <x:c r="G283" s="12"/>
      <x:c r="H283" s="12"/>
      <x:c r="I283" s="12"/>
      <x:c r="J283" s="12"/>
      <x:c r="K283" s="12"/>
      <x:c r="L283" s="12"/>
    </x:row>
    <x:row r="284">
      <x:c r="A284" s="12"/>
      <x:c r="B284" s="12"/>
      <x:c r="C284" s="12"/>
      <x:c r="D284" s="18"/>
      <x:c r="E284" s="18"/>
      <x:c r="F284" s="18"/>
      <x:c r="G284" s="12"/>
      <x:c r="H284" s="12"/>
      <x:c r="I284" s="12"/>
      <x:c r="J284" s="12"/>
      <x:c r="K284" s="12"/>
      <x:c r="L284" s="12"/>
    </x:row>
    <x:row r="285">
      <x:c r="A285" s="12"/>
      <x:c r="B285" s="12"/>
      <x:c r="C285" s="12"/>
      <x:c r="D285" s="18"/>
      <x:c r="E285" s="18"/>
      <x:c r="F285" s="18"/>
      <x:c r="G285" s="12"/>
      <x:c r="H285" s="12"/>
      <x:c r="I285" s="12"/>
      <x:c r="J285" s="12"/>
      <x:c r="K285" s="12"/>
      <x:c r="L285" s="12"/>
    </x:row>
    <x:row r="286">
      <x:c r="A286" s="12"/>
      <x:c r="B286" s="12"/>
      <x:c r="C286" s="12"/>
      <x:c r="D286" s="18"/>
      <x:c r="E286" s="18"/>
      <x:c r="F286" s="18"/>
      <x:c r="G286" s="12"/>
      <x:c r="H286" s="12"/>
      <x:c r="I286" s="12"/>
      <x:c r="J286" s="12"/>
      <x:c r="K286" s="12"/>
      <x:c r="L286" s="12"/>
    </x:row>
    <x:row r="287">
      <x:c r="A287" s="12"/>
      <x:c r="B287" s="12"/>
      <x:c r="C287" s="12"/>
      <x:c r="D287" s="18"/>
      <x:c r="E287" s="18"/>
      <x:c r="F287" s="18"/>
      <x:c r="G287" s="12"/>
      <x:c r="H287" s="12"/>
      <x:c r="I287" s="12"/>
      <x:c r="J287" s="12"/>
      <x:c r="K287" s="12"/>
      <x:c r="L287" s="12"/>
    </x:row>
    <x:row r="288">
      <x:c r="A288" s="12"/>
      <x:c r="B288" s="12"/>
      <x:c r="C288" s="12"/>
      <x:c r="D288" s="18"/>
      <x:c r="E288" s="18"/>
      <x:c r="F288" s="18"/>
      <x:c r="G288" s="12"/>
      <x:c r="H288" s="12"/>
      <x:c r="I288" s="12"/>
      <x:c r="J288" s="12"/>
      <x:c r="K288" s="12"/>
      <x:c r="L288" s="12"/>
    </x:row>
    <x:row r="289">
      <x:c r="A289" s="12"/>
      <x:c r="B289" s="12"/>
      <x:c r="C289" s="12"/>
      <x:c r="D289" s="18"/>
      <x:c r="E289" s="18"/>
      <x:c r="F289" s="18"/>
      <x:c r="G289" s="12"/>
      <x:c r="H289" s="12"/>
      <x:c r="I289" s="12"/>
      <x:c r="J289" s="12"/>
      <x:c r="K289" s="12"/>
      <x:c r="L289" s="12"/>
    </x:row>
    <x:row r="290">
      <x:c r="A290" s="12"/>
      <x:c r="B290" s="12"/>
      <x:c r="C290" s="12"/>
      <x:c r="D290" s="18"/>
      <x:c r="E290" s="18"/>
      <x:c r="F290" s="18"/>
      <x:c r="G290" s="12"/>
      <x:c r="H290" s="12"/>
      <x:c r="I290" s="12"/>
      <x:c r="J290" s="12"/>
      <x:c r="K290" s="12"/>
      <x:c r="L290" s="12"/>
    </x:row>
    <x:row r="291">
      <x:c r="A291" s="12"/>
      <x:c r="B291" s="12"/>
      <x:c r="C291" s="12"/>
      <x:c r="D291" s="18"/>
      <x:c r="E291" s="18"/>
      <x:c r="F291" s="18"/>
      <x:c r="G291" s="12"/>
      <x:c r="H291" s="12"/>
      <x:c r="I291" s="12"/>
      <x:c r="J291" s="12"/>
      <x:c r="K291" s="12"/>
      <x:c r="L291" s="12"/>
    </x:row>
    <x:row r="292">
      <x:c r="A292" s="12"/>
      <x:c r="B292" s="12"/>
      <x:c r="C292" s="12"/>
      <x:c r="D292" s="18"/>
      <x:c r="E292" s="18"/>
      <x:c r="F292" s="18"/>
      <x:c r="G292" s="12"/>
      <x:c r="H292" s="12"/>
      <x:c r="I292" s="12"/>
      <x:c r="J292" s="12"/>
      <x:c r="K292" s="12"/>
      <x:c r="L292" s="12"/>
    </x:row>
    <x:row r="293">
      <x:c r="A293" s="12"/>
      <x:c r="B293" s="12"/>
      <x:c r="C293" s="12"/>
      <x:c r="D293" s="18"/>
      <x:c r="E293" s="18"/>
      <x:c r="F293" s="18"/>
      <x:c r="G293" s="12"/>
      <x:c r="H293" s="12"/>
      <x:c r="I293" s="12"/>
      <x:c r="J293" s="12"/>
      <x:c r="K293" s="12"/>
      <x:c r="L293" s="12"/>
    </x:row>
    <x:row r="294">
      <x:c r="A294" s="12"/>
      <x:c r="B294" s="12"/>
      <x:c r="C294" s="12"/>
      <x:c r="D294" s="18"/>
      <x:c r="E294" s="18"/>
      <x:c r="F294" s="18"/>
      <x:c r="G294" s="12"/>
      <x:c r="H294" s="12"/>
      <x:c r="I294" s="12"/>
      <x:c r="J294" s="12"/>
      <x:c r="K294" s="12"/>
      <x:c r="L294" s="12"/>
    </x:row>
    <x:row r="295">
      <x:c r="A295" s="12"/>
      <x:c r="B295" s="12"/>
      <x:c r="C295" s="12"/>
      <x:c r="D295" s="18"/>
      <x:c r="E295" s="18"/>
      <x:c r="F295" s="18"/>
      <x:c r="G295" s="12"/>
      <x:c r="H295" s="12"/>
      <x:c r="I295" s="12"/>
      <x:c r="J295" s="12"/>
      <x:c r="K295" s="12"/>
      <x:c r="L295" s="12"/>
    </x:row>
    <x:row r="296">
      <x:c r="A296" s="12"/>
      <x:c r="B296" s="12"/>
      <x:c r="C296" s="12"/>
      <x:c r="D296" s="18"/>
      <x:c r="E296" s="18"/>
      <x:c r="F296" s="18"/>
      <x:c r="G296" s="12"/>
      <x:c r="H296" s="12"/>
      <x:c r="I296" s="12"/>
      <x:c r="J296" s="12"/>
      <x:c r="K296" s="12"/>
      <x:c r="L296" s="12"/>
    </x:row>
    <x:row r="297">
      <x:c r="A297" s="12"/>
      <x:c r="B297" s="12"/>
      <x:c r="C297" s="12"/>
      <x:c r="D297" s="18"/>
      <x:c r="E297" s="18"/>
      <x:c r="F297" s="18"/>
      <x:c r="G297" s="12"/>
      <x:c r="H297" s="12"/>
      <x:c r="I297" s="12"/>
      <x:c r="J297" s="12"/>
      <x:c r="K297" s="12"/>
      <x:c r="L297" s="12"/>
    </x:row>
    <x:row r="298">
      <x:c r="A298" s="12"/>
      <x:c r="B298" s="12"/>
      <x:c r="C298" s="12"/>
      <x:c r="D298" s="18"/>
      <x:c r="E298" s="18"/>
      <x:c r="F298" s="18"/>
      <x:c r="G298" s="12"/>
      <x:c r="H298" s="12"/>
      <x:c r="I298" s="12"/>
      <x:c r="J298" s="12"/>
      <x:c r="K298" s="12"/>
      <x:c r="L298" s="12"/>
    </x:row>
    <x:row r="299">
      <x:c r="A299" s="12"/>
      <x:c r="B299" s="12"/>
      <x:c r="C299" s="12"/>
      <x:c r="D299" s="18"/>
      <x:c r="E299" s="18"/>
      <x:c r="F299" s="18"/>
      <x:c r="G299" s="12"/>
      <x:c r="H299" s="12"/>
      <x:c r="I299" s="12"/>
      <x:c r="J299" s="12"/>
      <x:c r="K299" s="12"/>
      <x:c r="L299" s="12"/>
    </x:row>
    <x:row r="300">
      <x:c r="A300" s="12"/>
      <x:c r="B300" s="12"/>
      <x:c r="C300" s="12"/>
      <x:c r="D300" s="18"/>
      <x:c r="E300" s="18"/>
      <x:c r="F300" s="18"/>
      <x:c r="G300" s="12"/>
      <x:c r="H300" s="12"/>
      <x:c r="I300" s="12"/>
      <x:c r="J300" s="12"/>
      <x:c r="K300" s="12"/>
      <x:c r="L300" s="12"/>
    </x:row>
  </x:sheetData>
  <x:dataValidations count="1">
    <x:dataValidation type="list" sqref="H2:H300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bbf23efcbb4c95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2" hidden="0" customWidth="1"/>
    <x:col min="4" max="4" width="18" hidden="0" customWidth="1"/>
    <x:col min="5" max="5" width="14" hidden="0" customWidth="1"/>
    <x:col min="6" max="6" width="22" hidden="0" customWidth="1"/>
    <x:col min="7" max="7" width="22" hidden="0" customWidth="1"/>
    <x:col min="8" max="8" width="50" hidden="0" customWidth="1"/>
    <x:col min="9" max="9" width="18" hidden="0" customWidth="1"/>
  </x:cols>
  <x:sheetData>
    <x:row r="1">
      <x:c r="A1" s="6" t="str">
        <x:v>id</x:v>
      </x:c>
      <x:c r="B1" s="6" t="str">
        <x:v>fecha</x:v>
      </x:c>
      <x:c r="C1" s="6" t="str">
        <x:v>reservaId</x:v>
      </x:c>
      <x:c r="D1" s="6" t="str">
        <x:v>tipoMovimiento</x:v>
      </x:c>
      <x:c r="E1" s="6" t="str">
        <x:v>importe</x:v>
      </x:c>
      <x:c r="F1" s="6" t="str">
        <x:v>cuentaOrigen</x:v>
      </x:c>
      <x:c r="G1" s="6" t="str">
        <x:v>cuentaDestino</x:v>
      </x:c>
      <x:c r="H1" s="6" t="str">
        <x:v>notas</x:v>
      </x:c>
      <x:c r="I1" s="6" t="str">
        <x:v>createdAt</x:v>
      </x:c>
    </x:row>
    <x:row r="2">
      <x:c r="A2" s="12"/>
      <x:c r="B2" s="12"/>
      <x:c r="C2" s="12"/>
      <x:c r="D2" s="12"/>
      <x:c r="E2" s="18"/>
      <x:c r="F2" s="12"/>
      <x:c r="G2" s="12"/>
      <x:c r="H2" s="12"/>
      <x:c r="I2" s="12"/>
    </x:row>
    <x:row r="3">
      <x:c r="A3" s="12"/>
      <x:c r="B3" s="12"/>
      <x:c r="C3" s="12"/>
      <x:c r="D3" s="12"/>
      <x:c r="E3" s="18"/>
      <x:c r="F3" s="12"/>
      <x:c r="G3" s="12"/>
      <x:c r="H3" s="12"/>
      <x:c r="I3" s="12"/>
    </x:row>
    <x:row r="4">
      <x:c r="A4" s="12"/>
      <x:c r="B4" s="12"/>
      <x:c r="C4" s="12"/>
      <x:c r="D4" s="12"/>
      <x:c r="E4" s="18"/>
      <x:c r="F4" s="12"/>
      <x:c r="G4" s="12"/>
      <x:c r="H4" s="12"/>
      <x:c r="I4" s="12"/>
    </x:row>
    <x:row r="5">
      <x:c r="A5" s="12"/>
      <x:c r="B5" s="12"/>
      <x:c r="C5" s="12"/>
      <x:c r="D5" s="12"/>
      <x:c r="E5" s="18"/>
      <x:c r="F5" s="12"/>
      <x:c r="G5" s="12"/>
      <x:c r="H5" s="12"/>
      <x:c r="I5" s="12"/>
    </x:row>
    <x:row r="6">
      <x:c r="A6" s="12"/>
      <x:c r="B6" s="12"/>
      <x:c r="C6" s="12"/>
      <x:c r="D6" s="12"/>
      <x:c r="E6" s="18"/>
      <x:c r="F6" s="12"/>
      <x:c r="G6" s="12"/>
      <x:c r="H6" s="12"/>
      <x:c r="I6" s="12"/>
    </x:row>
    <x:row r="7">
      <x:c r="A7" s="12"/>
      <x:c r="B7" s="12"/>
      <x:c r="C7" s="12"/>
      <x:c r="D7" s="12"/>
      <x:c r="E7" s="18"/>
      <x:c r="F7" s="12"/>
      <x:c r="G7" s="12"/>
      <x:c r="H7" s="12"/>
      <x:c r="I7" s="12"/>
    </x:row>
    <x:row r="8">
      <x:c r="A8" s="12"/>
      <x:c r="B8" s="12"/>
      <x:c r="C8" s="12"/>
      <x:c r="D8" s="12"/>
      <x:c r="E8" s="18"/>
      <x:c r="F8" s="12"/>
      <x:c r="G8" s="12"/>
      <x:c r="H8" s="12"/>
      <x:c r="I8" s="12"/>
    </x:row>
    <x:row r="9">
      <x:c r="A9" s="12"/>
      <x:c r="B9" s="12"/>
      <x:c r="C9" s="12"/>
      <x:c r="D9" s="12"/>
      <x:c r="E9" s="18"/>
      <x:c r="F9" s="12"/>
      <x:c r="G9" s="12"/>
      <x:c r="H9" s="12"/>
      <x:c r="I9" s="12"/>
    </x:row>
    <x:row r="10">
      <x:c r="A10" s="12"/>
      <x:c r="B10" s="12"/>
      <x:c r="C10" s="12"/>
      <x:c r="D10" s="12"/>
      <x:c r="E10" s="18"/>
      <x:c r="F10" s="12"/>
      <x:c r="G10" s="12"/>
      <x:c r="H10" s="12"/>
      <x:c r="I10" s="12"/>
    </x:row>
    <x:row r="11">
      <x:c r="A11" s="12"/>
      <x:c r="B11" s="12"/>
      <x:c r="C11" s="12"/>
      <x:c r="D11" s="12"/>
      <x:c r="E11" s="18"/>
      <x:c r="F11" s="12"/>
      <x:c r="G11" s="12"/>
      <x:c r="H11" s="12"/>
      <x:c r="I11" s="12"/>
    </x:row>
    <x:row r="12">
      <x:c r="A12" s="12"/>
      <x:c r="B12" s="12"/>
      <x:c r="C12" s="12"/>
      <x:c r="D12" s="12"/>
      <x:c r="E12" s="18"/>
      <x:c r="F12" s="12"/>
      <x:c r="G12" s="12"/>
      <x:c r="H12" s="12"/>
      <x:c r="I12" s="12"/>
    </x:row>
    <x:row r="13">
      <x:c r="A13" s="12"/>
      <x:c r="B13" s="12"/>
      <x:c r="C13" s="12"/>
      <x:c r="D13" s="12"/>
      <x:c r="E13" s="18"/>
      <x:c r="F13" s="12"/>
      <x:c r="G13" s="12"/>
      <x:c r="H13" s="12"/>
      <x:c r="I13" s="12"/>
    </x:row>
    <x:row r="14">
      <x:c r="A14" s="12"/>
      <x:c r="B14" s="12"/>
      <x:c r="C14" s="12"/>
      <x:c r="D14" s="12"/>
      <x:c r="E14" s="18"/>
      <x:c r="F14" s="12"/>
      <x:c r="G14" s="12"/>
      <x:c r="H14" s="12"/>
      <x:c r="I14" s="12"/>
    </x:row>
    <x:row r="15">
      <x:c r="A15" s="12"/>
      <x:c r="B15" s="12"/>
      <x:c r="C15" s="12"/>
      <x:c r="D15" s="12"/>
      <x:c r="E15" s="18"/>
      <x:c r="F15" s="12"/>
      <x:c r="G15" s="12"/>
      <x:c r="H15" s="12"/>
      <x:c r="I15" s="12"/>
    </x:row>
    <x:row r="16">
      <x:c r="A16" s="12"/>
      <x:c r="B16" s="12"/>
      <x:c r="C16" s="12"/>
      <x:c r="D16" s="12"/>
      <x:c r="E16" s="18"/>
      <x:c r="F16" s="12"/>
      <x:c r="G16" s="12"/>
      <x:c r="H16" s="12"/>
      <x:c r="I16" s="12"/>
    </x:row>
    <x:row r="17">
      <x:c r="A17" s="12"/>
      <x:c r="B17" s="12"/>
      <x:c r="C17" s="12"/>
      <x:c r="D17" s="12"/>
      <x:c r="E17" s="18"/>
      <x:c r="F17" s="12"/>
      <x:c r="G17" s="12"/>
      <x:c r="H17" s="12"/>
      <x:c r="I17" s="12"/>
    </x:row>
    <x:row r="18">
      <x:c r="A18" s="12"/>
      <x:c r="B18" s="12"/>
      <x:c r="C18" s="12"/>
      <x:c r="D18" s="12"/>
      <x:c r="E18" s="18"/>
      <x:c r="F18" s="12"/>
      <x:c r="G18" s="12"/>
      <x:c r="H18" s="12"/>
      <x:c r="I18" s="12"/>
    </x:row>
    <x:row r="19">
      <x:c r="A19" s="12"/>
      <x:c r="B19" s="12"/>
      <x:c r="C19" s="12"/>
      <x:c r="D19" s="12"/>
      <x:c r="E19" s="18"/>
      <x:c r="F19" s="12"/>
      <x:c r="G19" s="12"/>
      <x:c r="H19" s="12"/>
      <x:c r="I19" s="12"/>
    </x:row>
    <x:row r="20">
      <x:c r="A20" s="12"/>
      <x:c r="B20" s="12"/>
      <x:c r="C20" s="12"/>
      <x:c r="D20" s="12"/>
      <x:c r="E20" s="18"/>
      <x:c r="F20" s="12"/>
      <x:c r="G20" s="12"/>
      <x:c r="H20" s="12"/>
      <x:c r="I20" s="12"/>
    </x:row>
    <x:row r="21">
      <x:c r="A21" s="12"/>
      <x:c r="B21" s="12"/>
      <x:c r="C21" s="12"/>
      <x:c r="D21" s="12"/>
      <x:c r="E21" s="18"/>
      <x:c r="F21" s="12"/>
      <x:c r="G21" s="12"/>
      <x:c r="H21" s="12"/>
      <x:c r="I21" s="12"/>
    </x:row>
    <x:row r="22">
      <x:c r="A22" s="12"/>
      <x:c r="B22" s="12"/>
      <x:c r="C22" s="12"/>
      <x:c r="D22" s="12"/>
      <x:c r="E22" s="18"/>
      <x:c r="F22" s="12"/>
      <x:c r="G22" s="12"/>
      <x:c r="H22" s="12"/>
      <x:c r="I22" s="12"/>
    </x:row>
    <x:row r="23">
      <x:c r="A23" s="12"/>
      <x:c r="B23" s="12"/>
      <x:c r="C23" s="12"/>
      <x:c r="D23" s="12"/>
      <x:c r="E23" s="18"/>
      <x:c r="F23" s="12"/>
      <x:c r="G23" s="12"/>
      <x:c r="H23" s="12"/>
      <x:c r="I23" s="12"/>
    </x:row>
    <x:row r="24">
      <x:c r="A24" s="12"/>
      <x:c r="B24" s="12"/>
      <x:c r="C24" s="12"/>
      <x:c r="D24" s="12"/>
      <x:c r="E24" s="18"/>
      <x:c r="F24" s="12"/>
      <x:c r="G24" s="12"/>
      <x:c r="H24" s="12"/>
      <x:c r="I24" s="12"/>
    </x:row>
    <x:row r="25">
      <x:c r="A25" s="12"/>
      <x:c r="B25" s="12"/>
      <x:c r="C25" s="12"/>
      <x:c r="D25" s="12"/>
      <x:c r="E25" s="18"/>
      <x:c r="F25" s="12"/>
      <x:c r="G25" s="12"/>
      <x:c r="H25" s="12"/>
      <x:c r="I25" s="12"/>
    </x:row>
    <x:row r="26">
      <x:c r="A26" s="12"/>
      <x:c r="B26" s="12"/>
      <x:c r="C26" s="12"/>
      <x:c r="D26" s="12"/>
      <x:c r="E26" s="18"/>
      <x:c r="F26" s="12"/>
      <x:c r="G26" s="12"/>
      <x:c r="H26" s="12"/>
      <x:c r="I26" s="12"/>
    </x:row>
    <x:row r="27">
      <x:c r="A27" s="12"/>
      <x:c r="B27" s="12"/>
      <x:c r="C27" s="12"/>
      <x:c r="D27" s="12"/>
      <x:c r="E27" s="18"/>
      <x:c r="F27" s="12"/>
      <x:c r="G27" s="12"/>
      <x:c r="H27" s="12"/>
      <x:c r="I27" s="12"/>
    </x:row>
    <x:row r="28">
      <x:c r="A28" s="12"/>
      <x:c r="B28" s="12"/>
      <x:c r="C28" s="12"/>
      <x:c r="D28" s="12"/>
      <x:c r="E28" s="18"/>
      <x:c r="F28" s="12"/>
      <x:c r="G28" s="12"/>
      <x:c r="H28" s="12"/>
      <x:c r="I28" s="12"/>
    </x:row>
    <x:row r="29">
      <x:c r="A29" s="12"/>
      <x:c r="B29" s="12"/>
      <x:c r="C29" s="12"/>
      <x:c r="D29" s="12"/>
      <x:c r="E29" s="18"/>
      <x:c r="F29" s="12"/>
      <x:c r="G29" s="12"/>
      <x:c r="H29" s="12"/>
      <x:c r="I29" s="12"/>
    </x:row>
    <x:row r="30">
      <x:c r="A30" s="12"/>
      <x:c r="B30" s="12"/>
      <x:c r="C30" s="12"/>
      <x:c r="D30" s="12"/>
      <x:c r="E30" s="18"/>
      <x:c r="F30" s="12"/>
      <x:c r="G30" s="12"/>
      <x:c r="H30" s="12"/>
      <x:c r="I30" s="12"/>
    </x:row>
    <x:row r="31">
      <x:c r="A31" s="12"/>
      <x:c r="B31" s="12"/>
      <x:c r="C31" s="12"/>
      <x:c r="D31" s="12"/>
      <x:c r="E31" s="18"/>
      <x:c r="F31" s="12"/>
      <x:c r="G31" s="12"/>
      <x:c r="H31" s="12"/>
      <x:c r="I31" s="12"/>
    </x:row>
    <x:row r="32">
      <x:c r="A32" s="12"/>
      <x:c r="B32" s="12"/>
      <x:c r="C32" s="12"/>
      <x:c r="D32" s="12"/>
      <x:c r="E32" s="18"/>
      <x:c r="F32" s="12"/>
      <x:c r="G32" s="12"/>
      <x:c r="H32" s="12"/>
      <x:c r="I32" s="12"/>
    </x:row>
    <x:row r="33">
      <x:c r="A33" s="12"/>
      <x:c r="B33" s="12"/>
      <x:c r="C33" s="12"/>
      <x:c r="D33" s="12"/>
      <x:c r="E33" s="18"/>
      <x:c r="F33" s="12"/>
      <x:c r="G33" s="12"/>
      <x:c r="H33" s="12"/>
      <x:c r="I33" s="12"/>
    </x:row>
    <x:row r="34">
      <x:c r="A34" s="12"/>
      <x:c r="B34" s="12"/>
      <x:c r="C34" s="12"/>
      <x:c r="D34" s="12"/>
      <x:c r="E34" s="18"/>
      <x:c r="F34" s="12"/>
      <x:c r="G34" s="12"/>
      <x:c r="H34" s="12"/>
      <x:c r="I34" s="12"/>
    </x:row>
    <x:row r="35">
      <x:c r="A35" s="12"/>
      <x:c r="B35" s="12"/>
      <x:c r="C35" s="12"/>
      <x:c r="D35" s="12"/>
      <x:c r="E35" s="18"/>
      <x:c r="F35" s="12"/>
      <x:c r="G35" s="12"/>
      <x:c r="H35" s="12"/>
      <x:c r="I35" s="12"/>
    </x:row>
    <x:row r="36">
      <x:c r="A36" s="12"/>
      <x:c r="B36" s="12"/>
      <x:c r="C36" s="12"/>
      <x:c r="D36" s="12"/>
      <x:c r="E36" s="18"/>
      <x:c r="F36" s="12"/>
      <x:c r="G36" s="12"/>
      <x:c r="H36" s="12"/>
      <x:c r="I36" s="12"/>
    </x:row>
    <x:row r="37">
      <x:c r="A37" s="12"/>
      <x:c r="B37" s="12"/>
      <x:c r="C37" s="12"/>
      <x:c r="D37" s="12"/>
      <x:c r="E37" s="18"/>
      <x:c r="F37" s="12"/>
      <x:c r="G37" s="12"/>
      <x:c r="H37" s="12"/>
      <x:c r="I37" s="12"/>
    </x:row>
    <x:row r="38">
      <x:c r="A38" s="12"/>
      <x:c r="B38" s="12"/>
      <x:c r="C38" s="12"/>
      <x:c r="D38" s="12"/>
      <x:c r="E38" s="18"/>
      <x:c r="F38" s="12"/>
      <x:c r="G38" s="12"/>
      <x:c r="H38" s="12"/>
      <x:c r="I38" s="12"/>
    </x:row>
    <x:row r="39">
      <x:c r="A39" s="12"/>
      <x:c r="B39" s="12"/>
      <x:c r="C39" s="12"/>
      <x:c r="D39" s="12"/>
      <x:c r="E39" s="18"/>
      <x:c r="F39" s="12"/>
      <x:c r="G39" s="12"/>
      <x:c r="H39" s="12"/>
      <x:c r="I39" s="12"/>
    </x:row>
    <x:row r="40">
      <x:c r="A40" s="12"/>
      <x:c r="B40" s="12"/>
      <x:c r="C40" s="12"/>
      <x:c r="D40" s="12"/>
      <x:c r="E40" s="18"/>
      <x:c r="F40" s="12"/>
      <x:c r="G40" s="12"/>
      <x:c r="H40" s="12"/>
      <x:c r="I40" s="12"/>
    </x:row>
    <x:row r="41">
      <x:c r="A41" s="12"/>
      <x:c r="B41" s="12"/>
      <x:c r="C41" s="12"/>
      <x:c r="D41" s="12"/>
      <x:c r="E41" s="18"/>
      <x:c r="F41" s="12"/>
      <x:c r="G41" s="12"/>
      <x:c r="H41" s="12"/>
      <x:c r="I41" s="12"/>
    </x:row>
    <x:row r="42">
      <x:c r="A42" s="12"/>
      <x:c r="B42" s="12"/>
      <x:c r="C42" s="12"/>
      <x:c r="D42" s="12"/>
      <x:c r="E42" s="18"/>
      <x:c r="F42" s="12"/>
      <x:c r="G42" s="12"/>
      <x:c r="H42" s="12"/>
      <x:c r="I42" s="12"/>
    </x:row>
    <x:row r="43">
      <x:c r="A43" s="12"/>
      <x:c r="B43" s="12"/>
      <x:c r="C43" s="12"/>
      <x:c r="D43" s="12"/>
      <x:c r="E43" s="18"/>
      <x:c r="F43" s="12"/>
      <x:c r="G43" s="12"/>
      <x:c r="H43" s="12"/>
      <x:c r="I43" s="12"/>
    </x:row>
    <x:row r="44">
      <x:c r="A44" s="12"/>
      <x:c r="B44" s="12"/>
      <x:c r="C44" s="12"/>
      <x:c r="D44" s="12"/>
      <x:c r="E44" s="18"/>
      <x:c r="F44" s="12"/>
      <x:c r="G44" s="12"/>
      <x:c r="H44" s="12"/>
      <x:c r="I44" s="12"/>
    </x:row>
    <x:row r="45">
      <x:c r="A45" s="12"/>
      <x:c r="B45" s="12"/>
      <x:c r="C45" s="12"/>
      <x:c r="D45" s="12"/>
      <x:c r="E45" s="18"/>
      <x:c r="F45" s="12"/>
      <x:c r="G45" s="12"/>
      <x:c r="H45" s="12"/>
      <x:c r="I45" s="12"/>
    </x:row>
    <x:row r="46">
      <x:c r="A46" s="12"/>
      <x:c r="B46" s="12"/>
      <x:c r="C46" s="12"/>
      <x:c r="D46" s="12"/>
      <x:c r="E46" s="18"/>
      <x:c r="F46" s="12"/>
      <x:c r="G46" s="12"/>
      <x:c r="H46" s="12"/>
      <x:c r="I46" s="12"/>
    </x:row>
    <x:row r="47">
      <x:c r="A47" s="12"/>
      <x:c r="B47" s="12"/>
      <x:c r="C47" s="12"/>
      <x:c r="D47" s="12"/>
      <x:c r="E47" s="18"/>
      <x:c r="F47" s="12"/>
      <x:c r="G47" s="12"/>
      <x:c r="H47" s="12"/>
      <x:c r="I47" s="12"/>
    </x:row>
    <x:row r="48">
      <x:c r="A48" s="12"/>
      <x:c r="B48" s="12"/>
      <x:c r="C48" s="12"/>
      <x:c r="D48" s="12"/>
      <x:c r="E48" s="18"/>
      <x:c r="F48" s="12"/>
      <x:c r="G48" s="12"/>
      <x:c r="H48" s="12"/>
      <x:c r="I48" s="12"/>
    </x:row>
    <x:row r="49">
      <x:c r="A49" s="12"/>
      <x:c r="B49" s="12"/>
      <x:c r="C49" s="12"/>
      <x:c r="D49" s="12"/>
      <x:c r="E49" s="18"/>
      <x:c r="F49" s="12"/>
      <x:c r="G49" s="12"/>
      <x:c r="H49" s="12"/>
      <x:c r="I49" s="12"/>
    </x:row>
    <x:row r="50">
      <x:c r="A50" s="12"/>
      <x:c r="B50" s="12"/>
      <x:c r="C50" s="12"/>
      <x:c r="D50" s="12"/>
      <x:c r="E50" s="18"/>
      <x:c r="F50" s="12"/>
      <x:c r="G50" s="12"/>
      <x:c r="H50" s="12"/>
      <x:c r="I50" s="12"/>
    </x:row>
    <x:row r="51">
      <x:c r="A51" s="12"/>
      <x:c r="B51" s="12"/>
      <x:c r="C51" s="12"/>
      <x:c r="D51" s="12"/>
      <x:c r="E51" s="18"/>
      <x:c r="F51" s="12"/>
      <x:c r="G51" s="12"/>
      <x:c r="H51" s="12"/>
      <x:c r="I51" s="12"/>
    </x:row>
    <x:row r="52">
      <x:c r="A52" s="12"/>
      <x:c r="B52" s="12"/>
      <x:c r="C52" s="12"/>
      <x:c r="D52" s="12"/>
      <x:c r="E52" s="18"/>
      <x:c r="F52" s="12"/>
      <x:c r="G52" s="12"/>
      <x:c r="H52" s="12"/>
      <x:c r="I52" s="12"/>
    </x:row>
    <x:row r="53">
      <x:c r="A53" s="12"/>
      <x:c r="B53" s="12"/>
      <x:c r="C53" s="12"/>
      <x:c r="D53" s="12"/>
      <x:c r="E53" s="18"/>
      <x:c r="F53" s="12"/>
      <x:c r="G53" s="12"/>
      <x:c r="H53" s="12"/>
      <x:c r="I53" s="12"/>
    </x:row>
    <x:row r="54">
      <x:c r="A54" s="12"/>
      <x:c r="B54" s="12"/>
      <x:c r="C54" s="12"/>
      <x:c r="D54" s="12"/>
      <x:c r="E54" s="18"/>
      <x:c r="F54" s="12"/>
      <x:c r="G54" s="12"/>
      <x:c r="H54" s="12"/>
      <x:c r="I54" s="12"/>
    </x:row>
    <x:row r="55">
      <x:c r="A55" s="12"/>
      <x:c r="B55" s="12"/>
      <x:c r="C55" s="12"/>
      <x:c r="D55" s="12"/>
      <x:c r="E55" s="18"/>
      <x:c r="F55" s="12"/>
      <x:c r="G55" s="12"/>
      <x:c r="H55" s="12"/>
      <x:c r="I55" s="12"/>
    </x:row>
    <x:row r="56">
      <x:c r="A56" s="12"/>
      <x:c r="B56" s="12"/>
      <x:c r="C56" s="12"/>
      <x:c r="D56" s="12"/>
      <x:c r="E56" s="18"/>
      <x:c r="F56" s="12"/>
      <x:c r="G56" s="12"/>
      <x:c r="H56" s="12"/>
      <x:c r="I56" s="12"/>
    </x:row>
    <x:row r="57">
      <x:c r="A57" s="12"/>
      <x:c r="B57" s="12"/>
      <x:c r="C57" s="12"/>
      <x:c r="D57" s="12"/>
      <x:c r="E57" s="18"/>
      <x:c r="F57" s="12"/>
      <x:c r="G57" s="12"/>
      <x:c r="H57" s="12"/>
      <x:c r="I57" s="12"/>
    </x:row>
    <x:row r="58">
      <x:c r="A58" s="12"/>
      <x:c r="B58" s="12"/>
      <x:c r="C58" s="12"/>
      <x:c r="D58" s="12"/>
      <x:c r="E58" s="18"/>
      <x:c r="F58" s="12"/>
      <x:c r="G58" s="12"/>
      <x:c r="H58" s="12"/>
      <x:c r="I58" s="12"/>
    </x:row>
    <x:row r="59">
      <x:c r="A59" s="12"/>
      <x:c r="B59" s="12"/>
      <x:c r="C59" s="12"/>
      <x:c r="D59" s="12"/>
      <x:c r="E59" s="18"/>
      <x:c r="F59" s="12"/>
      <x:c r="G59" s="12"/>
      <x:c r="H59" s="12"/>
      <x:c r="I59" s="12"/>
    </x:row>
    <x:row r="60">
      <x:c r="A60" s="12"/>
      <x:c r="B60" s="12"/>
      <x:c r="C60" s="12"/>
      <x:c r="D60" s="12"/>
      <x:c r="E60" s="18"/>
      <x:c r="F60" s="12"/>
      <x:c r="G60" s="12"/>
      <x:c r="H60" s="12"/>
      <x:c r="I60" s="12"/>
    </x:row>
    <x:row r="61">
      <x:c r="A61" s="12"/>
      <x:c r="B61" s="12"/>
      <x:c r="C61" s="12"/>
      <x:c r="D61" s="12"/>
      <x:c r="E61" s="18"/>
      <x:c r="F61" s="12"/>
      <x:c r="G61" s="12"/>
      <x:c r="H61" s="12"/>
      <x:c r="I61" s="12"/>
    </x:row>
    <x:row r="62">
      <x:c r="A62" s="12"/>
      <x:c r="B62" s="12"/>
      <x:c r="C62" s="12"/>
      <x:c r="D62" s="12"/>
      <x:c r="E62" s="18"/>
      <x:c r="F62" s="12"/>
      <x:c r="G62" s="12"/>
      <x:c r="H62" s="12"/>
      <x:c r="I62" s="12"/>
    </x:row>
    <x:row r="63">
      <x:c r="A63" s="12"/>
      <x:c r="B63" s="12"/>
      <x:c r="C63" s="12"/>
      <x:c r="D63" s="12"/>
      <x:c r="E63" s="18"/>
      <x:c r="F63" s="12"/>
      <x:c r="G63" s="12"/>
      <x:c r="H63" s="12"/>
      <x:c r="I63" s="12"/>
    </x:row>
    <x:row r="64">
      <x:c r="A64" s="12"/>
      <x:c r="B64" s="12"/>
      <x:c r="C64" s="12"/>
      <x:c r="D64" s="12"/>
      <x:c r="E64" s="18"/>
      <x:c r="F64" s="12"/>
      <x:c r="G64" s="12"/>
      <x:c r="H64" s="12"/>
      <x:c r="I64" s="12"/>
    </x:row>
    <x:row r="65">
      <x:c r="A65" s="12"/>
      <x:c r="B65" s="12"/>
      <x:c r="C65" s="12"/>
      <x:c r="D65" s="12"/>
      <x:c r="E65" s="18"/>
      <x:c r="F65" s="12"/>
      <x:c r="G65" s="12"/>
      <x:c r="H65" s="12"/>
      <x:c r="I65" s="12"/>
    </x:row>
    <x:row r="66">
      <x:c r="A66" s="12"/>
      <x:c r="B66" s="12"/>
      <x:c r="C66" s="12"/>
      <x:c r="D66" s="12"/>
      <x:c r="E66" s="18"/>
      <x:c r="F66" s="12"/>
      <x:c r="G66" s="12"/>
      <x:c r="H66" s="12"/>
      <x:c r="I66" s="12"/>
    </x:row>
    <x:row r="67">
      <x:c r="A67" s="12"/>
      <x:c r="B67" s="12"/>
      <x:c r="C67" s="12"/>
      <x:c r="D67" s="12"/>
      <x:c r="E67" s="18"/>
      <x:c r="F67" s="12"/>
      <x:c r="G67" s="12"/>
      <x:c r="H67" s="12"/>
      <x:c r="I67" s="12"/>
    </x:row>
    <x:row r="68">
      <x:c r="A68" s="12"/>
      <x:c r="B68" s="12"/>
      <x:c r="C68" s="12"/>
      <x:c r="D68" s="12"/>
      <x:c r="E68" s="18"/>
      <x:c r="F68" s="12"/>
      <x:c r="G68" s="12"/>
      <x:c r="H68" s="12"/>
      <x:c r="I68" s="12"/>
    </x:row>
    <x:row r="69">
      <x:c r="A69" s="12"/>
      <x:c r="B69" s="12"/>
      <x:c r="C69" s="12"/>
      <x:c r="D69" s="12"/>
      <x:c r="E69" s="18"/>
      <x:c r="F69" s="12"/>
      <x:c r="G69" s="12"/>
      <x:c r="H69" s="12"/>
      <x:c r="I69" s="12"/>
    </x:row>
    <x:row r="70">
      <x:c r="A70" s="12"/>
      <x:c r="B70" s="12"/>
      <x:c r="C70" s="12"/>
      <x:c r="D70" s="12"/>
      <x:c r="E70" s="18"/>
      <x:c r="F70" s="12"/>
      <x:c r="G70" s="12"/>
      <x:c r="H70" s="12"/>
      <x:c r="I70" s="12"/>
    </x:row>
    <x:row r="71">
      <x:c r="A71" s="12"/>
      <x:c r="B71" s="12"/>
      <x:c r="C71" s="12"/>
      <x:c r="D71" s="12"/>
      <x:c r="E71" s="18"/>
      <x:c r="F71" s="12"/>
      <x:c r="G71" s="12"/>
      <x:c r="H71" s="12"/>
      <x:c r="I71" s="12"/>
    </x:row>
    <x:row r="72">
      <x:c r="A72" s="12"/>
      <x:c r="B72" s="12"/>
      <x:c r="C72" s="12"/>
      <x:c r="D72" s="12"/>
      <x:c r="E72" s="18"/>
      <x:c r="F72" s="12"/>
      <x:c r="G72" s="12"/>
      <x:c r="H72" s="12"/>
      <x:c r="I72" s="12"/>
    </x:row>
    <x:row r="73">
      <x:c r="A73" s="12"/>
      <x:c r="B73" s="12"/>
      <x:c r="C73" s="12"/>
      <x:c r="D73" s="12"/>
      <x:c r="E73" s="18"/>
      <x:c r="F73" s="12"/>
      <x:c r="G73" s="12"/>
      <x:c r="H73" s="12"/>
      <x:c r="I73" s="12"/>
    </x:row>
    <x:row r="74">
      <x:c r="A74" s="12"/>
      <x:c r="B74" s="12"/>
      <x:c r="C74" s="12"/>
      <x:c r="D74" s="12"/>
      <x:c r="E74" s="18"/>
      <x:c r="F74" s="12"/>
      <x:c r="G74" s="12"/>
      <x:c r="H74" s="12"/>
      <x:c r="I74" s="12"/>
    </x:row>
    <x:row r="75">
      <x:c r="A75" s="12"/>
      <x:c r="B75" s="12"/>
      <x:c r="C75" s="12"/>
      <x:c r="D75" s="12"/>
      <x:c r="E75" s="18"/>
      <x:c r="F75" s="12"/>
      <x:c r="G75" s="12"/>
      <x:c r="H75" s="12"/>
      <x:c r="I75" s="12"/>
    </x:row>
    <x:row r="76">
      <x:c r="A76" s="12"/>
      <x:c r="B76" s="12"/>
      <x:c r="C76" s="12"/>
      <x:c r="D76" s="12"/>
      <x:c r="E76" s="18"/>
      <x:c r="F76" s="12"/>
      <x:c r="G76" s="12"/>
      <x:c r="H76" s="12"/>
      <x:c r="I76" s="12"/>
    </x:row>
    <x:row r="77">
      <x:c r="A77" s="12"/>
      <x:c r="B77" s="12"/>
      <x:c r="C77" s="12"/>
      <x:c r="D77" s="12"/>
      <x:c r="E77" s="18"/>
      <x:c r="F77" s="12"/>
      <x:c r="G77" s="12"/>
      <x:c r="H77" s="12"/>
      <x:c r="I77" s="12"/>
    </x:row>
    <x:row r="78">
      <x:c r="A78" s="12"/>
      <x:c r="B78" s="12"/>
      <x:c r="C78" s="12"/>
      <x:c r="D78" s="12"/>
      <x:c r="E78" s="18"/>
      <x:c r="F78" s="12"/>
      <x:c r="G78" s="12"/>
      <x:c r="H78" s="12"/>
      <x:c r="I78" s="12"/>
    </x:row>
    <x:row r="79">
      <x:c r="A79" s="12"/>
      <x:c r="B79" s="12"/>
      <x:c r="C79" s="12"/>
      <x:c r="D79" s="12"/>
      <x:c r="E79" s="18"/>
      <x:c r="F79" s="12"/>
      <x:c r="G79" s="12"/>
      <x:c r="H79" s="12"/>
      <x:c r="I79" s="12"/>
    </x:row>
    <x:row r="80">
      <x:c r="A80" s="12"/>
      <x:c r="B80" s="12"/>
      <x:c r="C80" s="12"/>
      <x:c r="D80" s="12"/>
      <x:c r="E80" s="18"/>
      <x:c r="F80" s="12"/>
      <x:c r="G80" s="12"/>
      <x:c r="H80" s="12"/>
      <x:c r="I80" s="12"/>
    </x:row>
    <x:row r="81">
      <x:c r="A81" s="12"/>
      <x:c r="B81" s="12"/>
      <x:c r="C81" s="12"/>
      <x:c r="D81" s="12"/>
      <x:c r="E81" s="18"/>
      <x:c r="F81" s="12"/>
      <x:c r="G81" s="12"/>
      <x:c r="H81" s="12"/>
      <x:c r="I81" s="12"/>
    </x:row>
    <x:row r="82">
      <x:c r="A82" s="12"/>
      <x:c r="B82" s="12"/>
      <x:c r="C82" s="12"/>
      <x:c r="D82" s="12"/>
      <x:c r="E82" s="18"/>
      <x:c r="F82" s="12"/>
      <x:c r="G82" s="12"/>
      <x:c r="H82" s="12"/>
      <x:c r="I82" s="12"/>
    </x:row>
    <x:row r="83">
      <x:c r="A83" s="12"/>
      <x:c r="B83" s="12"/>
      <x:c r="C83" s="12"/>
      <x:c r="D83" s="12"/>
      <x:c r="E83" s="18"/>
      <x:c r="F83" s="12"/>
      <x:c r="G83" s="12"/>
      <x:c r="H83" s="12"/>
      <x:c r="I83" s="12"/>
    </x:row>
    <x:row r="84">
      <x:c r="A84" s="12"/>
      <x:c r="B84" s="12"/>
      <x:c r="C84" s="12"/>
      <x:c r="D84" s="12"/>
      <x:c r="E84" s="18"/>
      <x:c r="F84" s="12"/>
      <x:c r="G84" s="12"/>
      <x:c r="H84" s="12"/>
      <x:c r="I84" s="12"/>
    </x:row>
    <x:row r="85">
      <x:c r="A85" s="12"/>
      <x:c r="B85" s="12"/>
      <x:c r="C85" s="12"/>
      <x:c r="D85" s="12"/>
      <x:c r="E85" s="18"/>
      <x:c r="F85" s="12"/>
      <x:c r="G85" s="12"/>
      <x:c r="H85" s="12"/>
      <x:c r="I85" s="12"/>
    </x:row>
    <x:row r="86">
      <x:c r="A86" s="12"/>
      <x:c r="B86" s="12"/>
      <x:c r="C86" s="12"/>
      <x:c r="D86" s="12"/>
      <x:c r="E86" s="18"/>
      <x:c r="F86" s="12"/>
      <x:c r="G86" s="12"/>
      <x:c r="H86" s="12"/>
      <x:c r="I86" s="12"/>
    </x:row>
    <x:row r="87">
      <x:c r="A87" s="12"/>
      <x:c r="B87" s="12"/>
      <x:c r="C87" s="12"/>
      <x:c r="D87" s="12"/>
      <x:c r="E87" s="18"/>
      <x:c r="F87" s="12"/>
      <x:c r="G87" s="12"/>
      <x:c r="H87" s="12"/>
      <x:c r="I87" s="12"/>
    </x:row>
    <x:row r="88">
      <x:c r="A88" s="12"/>
      <x:c r="B88" s="12"/>
      <x:c r="C88" s="12"/>
      <x:c r="D88" s="12"/>
      <x:c r="E88" s="18"/>
      <x:c r="F88" s="12"/>
      <x:c r="G88" s="12"/>
      <x:c r="H88" s="12"/>
      <x:c r="I88" s="12"/>
    </x:row>
    <x:row r="89">
      <x:c r="A89" s="12"/>
      <x:c r="B89" s="12"/>
      <x:c r="C89" s="12"/>
      <x:c r="D89" s="12"/>
      <x:c r="E89" s="18"/>
      <x:c r="F89" s="12"/>
      <x:c r="G89" s="12"/>
      <x:c r="H89" s="12"/>
      <x:c r="I89" s="12"/>
    </x:row>
    <x:row r="90">
      <x:c r="A90" s="12"/>
      <x:c r="B90" s="12"/>
      <x:c r="C90" s="12"/>
      <x:c r="D90" s="12"/>
      <x:c r="E90" s="18"/>
      <x:c r="F90" s="12"/>
      <x:c r="G90" s="12"/>
      <x:c r="H90" s="12"/>
      <x:c r="I90" s="12"/>
    </x:row>
    <x:row r="91">
      <x:c r="A91" s="12"/>
      <x:c r="B91" s="12"/>
      <x:c r="C91" s="12"/>
      <x:c r="D91" s="12"/>
      <x:c r="E91" s="18"/>
      <x:c r="F91" s="12"/>
      <x:c r="G91" s="12"/>
      <x:c r="H91" s="12"/>
      <x:c r="I91" s="12"/>
    </x:row>
    <x:row r="92">
      <x:c r="A92" s="12"/>
      <x:c r="B92" s="12"/>
      <x:c r="C92" s="12"/>
      <x:c r="D92" s="12"/>
      <x:c r="E92" s="18"/>
      <x:c r="F92" s="12"/>
      <x:c r="G92" s="12"/>
      <x:c r="H92" s="12"/>
      <x:c r="I92" s="12"/>
    </x:row>
    <x:row r="93">
      <x:c r="A93" s="12"/>
      <x:c r="B93" s="12"/>
      <x:c r="C93" s="12"/>
      <x:c r="D93" s="12"/>
      <x:c r="E93" s="18"/>
      <x:c r="F93" s="12"/>
      <x:c r="G93" s="12"/>
      <x:c r="H93" s="12"/>
      <x:c r="I93" s="12"/>
    </x:row>
    <x:row r="94">
      <x:c r="A94" s="12"/>
      <x:c r="B94" s="12"/>
      <x:c r="C94" s="12"/>
      <x:c r="D94" s="12"/>
      <x:c r="E94" s="18"/>
      <x:c r="F94" s="12"/>
      <x:c r="G94" s="12"/>
      <x:c r="H94" s="12"/>
      <x:c r="I94" s="12"/>
    </x:row>
    <x:row r="95">
      <x:c r="A95" s="12"/>
      <x:c r="B95" s="12"/>
      <x:c r="C95" s="12"/>
      <x:c r="D95" s="12"/>
      <x:c r="E95" s="18"/>
      <x:c r="F95" s="12"/>
      <x:c r="G95" s="12"/>
      <x:c r="H95" s="12"/>
      <x:c r="I95" s="12"/>
    </x:row>
    <x:row r="96">
      <x:c r="A96" s="12"/>
      <x:c r="B96" s="12"/>
      <x:c r="C96" s="12"/>
      <x:c r="D96" s="12"/>
      <x:c r="E96" s="18"/>
      <x:c r="F96" s="12"/>
      <x:c r="G96" s="12"/>
      <x:c r="H96" s="12"/>
      <x:c r="I96" s="12"/>
    </x:row>
    <x:row r="97">
      <x:c r="A97" s="12"/>
      <x:c r="B97" s="12"/>
      <x:c r="C97" s="12"/>
      <x:c r="D97" s="12"/>
      <x:c r="E97" s="18"/>
      <x:c r="F97" s="12"/>
      <x:c r="G97" s="12"/>
      <x:c r="H97" s="12"/>
      <x:c r="I97" s="12"/>
    </x:row>
    <x:row r="98">
      <x:c r="A98" s="12"/>
      <x:c r="B98" s="12"/>
      <x:c r="C98" s="12"/>
      <x:c r="D98" s="12"/>
      <x:c r="E98" s="18"/>
      <x:c r="F98" s="12"/>
      <x:c r="G98" s="12"/>
      <x:c r="H98" s="12"/>
      <x:c r="I98" s="12"/>
    </x:row>
    <x:row r="99">
      <x:c r="A99" s="12"/>
      <x:c r="B99" s="12"/>
      <x:c r="C99" s="12"/>
      <x:c r="D99" s="12"/>
      <x:c r="E99" s="18"/>
      <x:c r="F99" s="12"/>
      <x:c r="G99" s="12"/>
      <x:c r="H99" s="12"/>
      <x:c r="I99" s="12"/>
    </x:row>
    <x:row r="100">
      <x:c r="A100" s="12"/>
      <x:c r="B100" s="12"/>
      <x:c r="C100" s="12"/>
      <x:c r="D100" s="12"/>
      <x:c r="E100" s="18"/>
      <x:c r="F100" s="12"/>
      <x:c r="G100" s="12"/>
      <x:c r="H100" s="12"/>
      <x:c r="I100" s="12"/>
    </x:row>
    <x:row r="101">
      <x:c r="A101" s="12"/>
      <x:c r="B101" s="12"/>
      <x:c r="C101" s="12"/>
      <x:c r="D101" s="12"/>
      <x:c r="E101" s="18"/>
      <x:c r="F101" s="12"/>
      <x:c r="G101" s="12"/>
      <x:c r="H101" s="12"/>
      <x:c r="I101" s="12"/>
    </x:row>
    <x:row r="102">
      <x:c r="A102" s="12"/>
      <x:c r="B102" s="12"/>
      <x:c r="C102" s="12"/>
      <x:c r="D102" s="12"/>
      <x:c r="E102" s="18"/>
      <x:c r="F102" s="12"/>
      <x:c r="G102" s="12"/>
      <x:c r="H102" s="12"/>
      <x:c r="I102" s="12"/>
    </x:row>
    <x:row r="103">
      <x:c r="A103" s="12"/>
      <x:c r="B103" s="12"/>
      <x:c r="C103" s="12"/>
      <x:c r="D103" s="12"/>
      <x:c r="E103" s="18"/>
      <x:c r="F103" s="12"/>
      <x:c r="G103" s="12"/>
      <x:c r="H103" s="12"/>
      <x:c r="I103" s="12"/>
    </x:row>
    <x:row r="104">
      <x:c r="A104" s="12"/>
      <x:c r="B104" s="12"/>
      <x:c r="C104" s="12"/>
      <x:c r="D104" s="12"/>
      <x:c r="E104" s="18"/>
      <x:c r="F104" s="12"/>
      <x:c r="G104" s="12"/>
      <x:c r="H104" s="12"/>
      <x:c r="I104" s="12"/>
    </x:row>
    <x:row r="105">
      <x:c r="A105" s="12"/>
      <x:c r="B105" s="12"/>
      <x:c r="C105" s="12"/>
      <x:c r="D105" s="12"/>
      <x:c r="E105" s="18"/>
      <x:c r="F105" s="12"/>
      <x:c r="G105" s="12"/>
      <x:c r="H105" s="12"/>
      <x:c r="I105" s="12"/>
    </x:row>
    <x:row r="106">
      <x:c r="A106" s="12"/>
      <x:c r="B106" s="12"/>
      <x:c r="C106" s="12"/>
      <x:c r="D106" s="12"/>
      <x:c r="E106" s="18"/>
      <x:c r="F106" s="12"/>
      <x:c r="G106" s="12"/>
      <x:c r="H106" s="12"/>
      <x:c r="I106" s="12"/>
    </x:row>
    <x:row r="107">
      <x:c r="A107" s="12"/>
      <x:c r="B107" s="12"/>
      <x:c r="C107" s="12"/>
      <x:c r="D107" s="12"/>
      <x:c r="E107" s="18"/>
      <x:c r="F107" s="12"/>
      <x:c r="G107" s="12"/>
      <x:c r="H107" s="12"/>
      <x:c r="I107" s="12"/>
    </x:row>
    <x:row r="108">
      <x:c r="A108" s="12"/>
      <x:c r="B108" s="12"/>
      <x:c r="C108" s="12"/>
      <x:c r="D108" s="12"/>
      <x:c r="E108" s="18"/>
      <x:c r="F108" s="12"/>
      <x:c r="G108" s="12"/>
      <x:c r="H108" s="12"/>
      <x:c r="I108" s="12"/>
    </x:row>
    <x:row r="109">
      <x:c r="A109" s="12"/>
      <x:c r="B109" s="12"/>
      <x:c r="C109" s="12"/>
      <x:c r="D109" s="12"/>
      <x:c r="E109" s="18"/>
      <x:c r="F109" s="12"/>
      <x:c r="G109" s="12"/>
      <x:c r="H109" s="12"/>
      <x:c r="I109" s="12"/>
    </x:row>
    <x:row r="110">
      <x:c r="A110" s="12"/>
      <x:c r="B110" s="12"/>
      <x:c r="C110" s="12"/>
      <x:c r="D110" s="12"/>
      <x:c r="E110" s="18"/>
      <x:c r="F110" s="12"/>
      <x:c r="G110" s="12"/>
      <x:c r="H110" s="12"/>
      <x:c r="I110" s="12"/>
    </x:row>
    <x:row r="111">
      <x:c r="A111" s="12"/>
      <x:c r="B111" s="12"/>
      <x:c r="C111" s="12"/>
      <x:c r="D111" s="12"/>
      <x:c r="E111" s="18"/>
      <x:c r="F111" s="12"/>
      <x:c r="G111" s="12"/>
      <x:c r="H111" s="12"/>
      <x:c r="I111" s="12"/>
    </x:row>
    <x:row r="112">
      <x:c r="A112" s="12"/>
      <x:c r="B112" s="12"/>
      <x:c r="C112" s="12"/>
      <x:c r="D112" s="12"/>
      <x:c r="E112" s="18"/>
      <x:c r="F112" s="12"/>
      <x:c r="G112" s="12"/>
      <x:c r="H112" s="12"/>
      <x:c r="I112" s="12"/>
    </x:row>
    <x:row r="113">
      <x:c r="A113" s="12"/>
      <x:c r="B113" s="12"/>
      <x:c r="C113" s="12"/>
      <x:c r="D113" s="12"/>
      <x:c r="E113" s="18"/>
      <x:c r="F113" s="12"/>
      <x:c r="G113" s="12"/>
      <x:c r="H113" s="12"/>
      <x:c r="I113" s="12"/>
    </x:row>
    <x:row r="114">
      <x:c r="A114" s="12"/>
      <x:c r="B114" s="12"/>
      <x:c r="C114" s="12"/>
      <x:c r="D114" s="12"/>
      <x:c r="E114" s="18"/>
      <x:c r="F114" s="12"/>
      <x:c r="G114" s="12"/>
      <x:c r="H114" s="12"/>
      <x:c r="I114" s="12"/>
    </x:row>
    <x:row r="115">
      <x:c r="A115" s="12"/>
      <x:c r="B115" s="12"/>
      <x:c r="C115" s="12"/>
      <x:c r="D115" s="12"/>
      <x:c r="E115" s="18"/>
      <x:c r="F115" s="12"/>
      <x:c r="G115" s="12"/>
      <x:c r="H115" s="12"/>
      <x:c r="I115" s="12"/>
    </x:row>
    <x:row r="116">
      <x:c r="A116" s="12"/>
      <x:c r="B116" s="12"/>
      <x:c r="C116" s="12"/>
      <x:c r="D116" s="12"/>
      <x:c r="E116" s="18"/>
      <x:c r="F116" s="12"/>
      <x:c r="G116" s="12"/>
      <x:c r="H116" s="12"/>
      <x:c r="I116" s="12"/>
    </x:row>
    <x:row r="117">
      <x:c r="A117" s="12"/>
      <x:c r="B117" s="12"/>
      <x:c r="C117" s="12"/>
      <x:c r="D117" s="12"/>
      <x:c r="E117" s="18"/>
      <x:c r="F117" s="12"/>
      <x:c r="G117" s="12"/>
      <x:c r="H117" s="12"/>
      <x:c r="I117" s="12"/>
    </x:row>
    <x:row r="118">
      <x:c r="A118" s="12"/>
      <x:c r="B118" s="12"/>
      <x:c r="C118" s="12"/>
      <x:c r="D118" s="12"/>
      <x:c r="E118" s="18"/>
      <x:c r="F118" s="12"/>
      <x:c r="G118" s="12"/>
      <x:c r="H118" s="12"/>
      <x:c r="I118" s="12"/>
    </x:row>
    <x:row r="119">
      <x:c r="A119" s="12"/>
      <x:c r="B119" s="12"/>
      <x:c r="C119" s="12"/>
      <x:c r="D119" s="12"/>
      <x:c r="E119" s="18"/>
      <x:c r="F119" s="12"/>
      <x:c r="G119" s="12"/>
      <x:c r="H119" s="12"/>
      <x:c r="I119" s="12"/>
    </x:row>
    <x:row r="120">
      <x:c r="A120" s="12"/>
      <x:c r="B120" s="12"/>
      <x:c r="C120" s="12"/>
      <x:c r="D120" s="12"/>
      <x:c r="E120" s="18"/>
      <x:c r="F120" s="12"/>
      <x:c r="G120" s="12"/>
      <x:c r="H120" s="12"/>
      <x:c r="I120" s="12"/>
    </x:row>
    <x:row r="121">
      <x:c r="A121" s="12"/>
      <x:c r="B121" s="12"/>
      <x:c r="C121" s="12"/>
      <x:c r="D121" s="12"/>
      <x:c r="E121" s="18"/>
      <x:c r="F121" s="12"/>
      <x:c r="G121" s="12"/>
      <x:c r="H121" s="12"/>
      <x:c r="I121" s="12"/>
    </x:row>
    <x:row r="122">
      <x:c r="A122" s="12"/>
      <x:c r="B122" s="12"/>
      <x:c r="C122" s="12"/>
      <x:c r="D122" s="12"/>
      <x:c r="E122" s="18"/>
      <x:c r="F122" s="12"/>
      <x:c r="G122" s="12"/>
      <x:c r="H122" s="12"/>
      <x:c r="I122" s="12"/>
    </x:row>
    <x:row r="123">
      <x:c r="A123" s="12"/>
      <x:c r="B123" s="12"/>
      <x:c r="C123" s="12"/>
      <x:c r="D123" s="12"/>
      <x:c r="E123" s="18"/>
      <x:c r="F123" s="12"/>
      <x:c r="G123" s="12"/>
      <x:c r="H123" s="12"/>
      <x:c r="I123" s="12"/>
    </x:row>
    <x:row r="124">
      <x:c r="A124" s="12"/>
      <x:c r="B124" s="12"/>
      <x:c r="C124" s="12"/>
      <x:c r="D124" s="12"/>
      <x:c r="E124" s="18"/>
      <x:c r="F124" s="12"/>
      <x:c r="G124" s="12"/>
      <x:c r="H124" s="12"/>
      <x:c r="I124" s="12"/>
    </x:row>
    <x:row r="125">
      <x:c r="A125" s="12"/>
      <x:c r="B125" s="12"/>
      <x:c r="C125" s="12"/>
      <x:c r="D125" s="12"/>
      <x:c r="E125" s="18"/>
      <x:c r="F125" s="12"/>
      <x:c r="G125" s="12"/>
      <x:c r="H125" s="12"/>
      <x:c r="I125" s="12"/>
    </x:row>
    <x:row r="126">
      <x:c r="A126" s="12"/>
      <x:c r="B126" s="12"/>
      <x:c r="C126" s="12"/>
      <x:c r="D126" s="12"/>
      <x:c r="E126" s="18"/>
      <x:c r="F126" s="12"/>
      <x:c r="G126" s="12"/>
      <x:c r="H126" s="12"/>
      <x:c r="I126" s="12"/>
    </x:row>
    <x:row r="127">
      <x:c r="A127" s="12"/>
      <x:c r="B127" s="12"/>
      <x:c r="C127" s="12"/>
      <x:c r="D127" s="12"/>
      <x:c r="E127" s="18"/>
      <x:c r="F127" s="12"/>
      <x:c r="G127" s="12"/>
      <x:c r="H127" s="12"/>
      <x:c r="I127" s="12"/>
    </x:row>
    <x:row r="128">
      <x:c r="A128" s="12"/>
      <x:c r="B128" s="12"/>
      <x:c r="C128" s="12"/>
      <x:c r="D128" s="12"/>
      <x:c r="E128" s="18"/>
      <x:c r="F128" s="12"/>
      <x:c r="G128" s="12"/>
      <x:c r="H128" s="12"/>
      <x:c r="I128" s="12"/>
    </x:row>
    <x:row r="129">
      <x:c r="A129" s="12"/>
      <x:c r="B129" s="12"/>
      <x:c r="C129" s="12"/>
      <x:c r="D129" s="12"/>
      <x:c r="E129" s="18"/>
      <x:c r="F129" s="12"/>
      <x:c r="G129" s="12"/>
      <x:c r="H129" s="12"/>
      <x:c r="I129" s="12"/>
    </x:row>
    <x:row r="130">
      <x:c r="A130" s="12"/>
      <x:c r="B130" s="12"/>
      <x:c r="C130" s="12"/>
      <x:c r="D130" s="12"/>
      <x:c r="E130" s="18"/>
      <x:c r="F130" s="12"/>
      <x:c r="G130" s="12"/>
      <x:c r="H130" s="12"/>
      <x:c r="I130" s="12"/>
    </x:row>
    <x:row r="131">
      <x:c r="A131" s="12"/>
      <x:c r="B131" s="12"/>
      <x:c r="C131" s="12"/>
      <x:c r="D131" s="12"/>
      <x:c r="E131" s="18"/>
      <x:c r="F131" s="12"/>
      <x:c r="G131" s="12"/>
      <x:c r="H131" s="12"/>
      <x:c r="I131" s="12"/>
    </x:row>
    <x:row r="132">
      <x:c r="A132" s="12"/>
      <x:c r="B132" s="12"/>
      <x:c r="C132" s="12"/>
      <x:c r="D132" s="12"/>
      <x:c r="E132" s="18"/>
      <x:c r="F132" s="12"/>
      <x:c r="G132" s="12"/>
      <x:c r="H132" s="12"/>
      <x:c r="I132" s="12"/>
    </x:row>
    <x:row r="133">
      <x:c r="A133" s="12"/>
      <x:c r="B133" s="12"/>
      <x:c r="C133" s="12"/>
      <x:c r="D133" s="12"/>
      <x:c r="E133" s="18"/>
      <x:c r="F133" s="12"/>
      <x:c r="G133" s="12"/>
      <x:c r="H133" s="12"/>
      <x:c r="I133" s="12"/>
    </x:row>
    <x:row r="134">
      <x:c r="A134" s="12"/>
      <x:c r="B134" s="12"/>
      <x:c r="C134" s="12"/>
      <x:c r="D134" s="12"/>
      <x:c r="E134" s="18"/>
      <x:c r="F134" s="12"/>
      <x:c r="G134" s="12"/>
      <x:c r="H134" s="12"/>
      <x:c r="I134" s="12"/>
    </x:row>
    <x:row r="135">
      <x:c r="A135" s="12"/>
      <x:c r="B135" s="12"/>
      <x:c r="C135" s="12"/>
      <x:c r="D135" s="12"/>
      <x:c r="E135" s="18"/>
      <x:c r="F135" s="12"/>
      <x:c r="G135" s="12"/>
      <x:c r="H135" s="12"/>
      <x:c r="I135" s="12"/>
    </x:row>
    <x:row r="136">
      <x:c r="A136" s="12"/>
      <x:c r="B136" s="12"/>
      <x:c r="C136" s="12"/>
      <x:c r="D136" s="12"/>
      <x:c r="E136" s="18"/>
      <x:c r="F136" s="12"/>
      <x:c r="G136" s="12"/>
      <x:c r="H136" s="12"/>
      <x:c r="I136" s="12"/>
    </x:row>
    <x:row r="137">
      <x:c r="A137" s="12"/>
      <x:c r="B137" s="12"/>
      <x:c r="C137" s="12"/>
      <x:c r="D137" s="12"/>
      <x:c r="E137" s="18"/>
      <x:c r="F137" s="12"/>
      <x:c r="G137" s="12"/>
      <x:c r="H137" s="12"/>
      <x:c r="I137" s="12"/>
    </x:row>
    <x:row r="138">
      <x:c r="A138" s="12"/>
      <x:c r="B138" s="12"/>
      <x:c r="C138" s="12"/>
      <x:c r="D138" s="12"/>
      <x:c r="E138" s="18"/>
      <x:c r="F138" s="12"/>
      <x:c r="G138" s="12"/>
      <x:c r="H138" s="12"/>
      <x:c r="I138" s="12"/>
    </x:row>
    <x:row r="139">
      <x:c r="A139" s="12"/>
      <x:c r="B139" s="12"/>
      <x:c r="C139" s="12"/>
      <x:c r="D139" s="12"/>
      <x:c r="E139" s="18"/>
      <x:c r="F139" s="12"/>
      <x:c r="G139" s="12"/>
      <x:c r="H139" s="12"/>
      <x:c r="I139" s="12"/>
    </x:row>
    <x:row r="140">
      <x:c r="A140" s="12"/>
      <x:c r="B140" s="12"/>
      <x:c r="C140" s="12"/>
      <x:c r="D140" s="12"/>
      <x:c r="E140" s="18"/>
      <x:c r="F140" s="12"/>
      <x:c r="G140" s="12"/>
      <x:c r="H140" s="12"/>
      <x:c r="I140" s="12"/>
    </x:row>
    <x:row r="141">
      <x:c r="A141" s="12"/>
      <x:c r="B141" s="12"/>
      <x:c r="C141" s="12"/>
      <x:c r="D141" s="12"/>
      <x:c r="E141" s="18"/>
      <x:c r="F141" s="12"/>
      <x:c r="G141" s="12"/>
      <x:c r="H141" s="12"/>
      <x:c r="I141" s="12"/>
    </x:row>
    <x:row r="142">
      <x:c r="A142" s="12"/>
      <x:c r="B142" s="12"/>
      <x:c r="C142" s="12"/>
      <x:c r="D142" s="12"/>
      <x:c r="E142" s="18"/>
      <x:c r="F142" s="12"/>
      <x:c r="G142" s="12"/>
      <x:c r="H142" s="12"/>
      <x:c r="I142" s="12"/>
    </x:row>
    <x:row r="143">
      <x:c r="A143" s="12"/>
      <x:c r="B143" s="12"/>
      <x:c r="C143" s="12"/>
      <x:c r="D143" s="12"/>
      <x:c r="E143" s="18"/>
      <x:c r="F143" s="12"/>
      <x:c r="G143" s="12"/>
      <x:c r="H143" s="12"/>
      <x:c r="I143" s="12"/>
    </x:row>
    <x:row r="144">
      <x:c r="A144" s="12"/>
      <x:c r="B144" s="12"/>
      <x:c r="C144" s="12"/>
      <x:c r="D144" s="12"/>
      <x:c r="E144" s="18"/>
      <x:c r="F144" s="12"/>
      <x:c r="G144" s="12"/>
      <x:c r="H144" s="12"/>
      <x:c r="I144" s="12"/>
    </x:row>
    <x:row r="145">
      <x:c r="A145" s="12"/>
      <x:c r="B145" s="12"/>
      <x:c r="C145" s="12"/>
      <x:c r="D145" s="12"/>
      <x:c r="E145" s="18"/>
      <x:c r="F145" s="12"/>
      <x:c r="G145" s="12"/>
      <x:c r="H145" s="12"/>
      <x:c r="I145" s="12"/>
    </x:row>
    <x:row r="146">
      <x:c r="A146" s="12"/>
      <x:c r="B146" s="12"/>
      <x:c r="C146" s="12"/>
      <x:c r="D146" s="12"/>
      <x:c r="E146" s="18"/>
      <x:c r="F146" s="12"/>
      <x:c r="G146" s="12"/>
      <x:c r="H146" s="12"/>
      <x:c r="I146" s="12"/>
    </x:row>
    <x:row r="147">
      <x:c r="A147" s="12"/>
      <x:c r="B147" s="12"/>
      <x:c r="C147" s="12"/>
      <x:c r="D147" s="12"/>
      <x:c r="E147" s="18"/>
      <x:c r="F147" s="12"/>
      <x:c r="G147" s="12"/>
      <x:c r="H147" s="12"/>
      <x:c r="I147" s="12"/>
    </x:row>
    <x:row r="148">
      <x:c r="A148" s="12"/>
      <x:c r="B148" s="12"/>
      <x:c r="C148" s="12"/>
      <x:c r="D148" s="12"/>
      <x:c r="E148" s="18"/>
      <x:c r="F148" s="12"/>
      <x:c r="G148" s="12"/>
      <x:c r="H148" s="12"/>
      <x:c r="I148" s="12"/>
    </x:row>
    <x:row r="149">
      <x:c r="A149" s="12"/>
      <x:c r="B149" s="12"/>
      <x:c r="C149" s="12"/>
      <x:c r="D149" s="12"/>
      <x:c r="E149" s="18"/>
      <x:c r="F149" s="12"/>
      <x:c r="G149" s="12"/>
      <x:c r="H149" s="12"/>
      <x:c r="I149" s="12"/>
    </x:row>
    <x:row r="150">
      <x:c r="A150" s="12"/>
      <x:c r="B150" s="12"/>
      <x:c r="C150" s="12"/>
      <x:c r="D150" s="12"/>
      <x:c r="E150" s="18"/>
      <x:c r="F150" s="12"/>
      <x:c r="G150" s="12"/>
      <x:c r="H150" s="12"/>
      <x:c r="I150" s="12"/>
    </x:row>
    <x:row r="151">
      <x:c r="A151" s="12"/>
      <x:c r="B151" s="12"/>
      <x:c r="C151" s="12"/>
      <x:c r="D151" s="12"/>
      <x:c r="E151" s="18"/>
      <x:c r="F151" s="12"/>
      <x:c r="G151" s="12"/>
      <x:c r="H151" s="12"/>
      <x:c r="I151" s="12"/>
    </x:row>
    <x:row r="152">
      <x:c r="A152" s="12"/>
      <x:c r="B152" s="12"/>
      <x:c r="C152" s="12"/>
      <x:c r="D152" s="12"/>
      <x:c r="E152" s="18"/>
      <x:c r="F152" s="12"/>
      <x:c r="G152" s="12"/>
      <x:c r="H152" s="12"/>
      <x:c r="I152" s="12"/>
    </x:row>
    <x:row r="153">
      <x:c r="A153" s="12"/>
      <x:c r="B153" s="12"/>
      <x:c r="C153" s="12"/>
      <x:c r="D153" s="12"/>
      <x:c r="E153" s="18"/>
      <x:c r="F153" s="12"/>
      <x:c r="G153" s="12"/>
      <x:c r="H153" s="12"/>
      <x:c r="I153" s="12"/>
    </x:row>
    <x:row r="154">
      <x:c r="A154" s="12"/>
      <x:c r="B154" s="12"/>
      <x:c r="C154" s="12"/>
      <x:c r="D154" s="12"/>
      <x:c r="E154" s="18"/>
      <x:c r="F154" s="12"/>
      <x:c r="G154" s="12"/>
      <x:c r="H154" s="12"/>
      <x:c r="I154" s="12"/>
    </x:row>
    <x:row r="155">
      <x:c r="A155" s="12"/>
      <x:c r="B155" s="12"/>
      <x:c r="C155" s="12"/>
      <x:c r="D155" s="12"/>
      <x:c r="E155" s="18"/>
      <x:c r="F155" s="12"/>
      <x:c r="G155" s="12"/>
      <x:c r="H155" s="12"/>
      <x:c r="I155" s="12"/>
    </x:row>
    <x:row r="156">
      <x:c r="A156" s="12"/>
      <x:c r="B156" s="12"/>
      <x:c r="C156" s="12"/>
      <x:c r="D156" s="12"/>
      <x:c r="E156" s="18"/>
      <x:c r="F156" s="12"/>
      <x:c r="G156" s="12"/>
      <x:c r="H156" s="12"/>
      <x:c r="I156" s="12"/>
    </x:row>
    <x:row r="157">
      <x:c r="A157" s="12"/>
      <x:c r="B157" s="12"/>
      <x:c r="C157" s="12"/>
      <x:c r="D157" s="12"/>
      <x:c r="E157" s="18"/>
      <x:c r="F157" s="12"/>
      <x:c r="G157" s="12"/>
      <x:c r="H157" s="12"/>
      <x:c r="I157" s="12"/>
    </x:row>
    <x:row r="158">
      <x:c r="A158" s="12"/>
      <x:c r="B158" s="12"/>
      <x:c r="C158" s="12"/>
      <x:c r="D158" s="12"/>
      <x:c r="E158" s="18"/>
      <x:c r="F158" s="12"/>
      <x:c r="G158" s="12"/>
      <x:c r="H158" s="12"/>
      <x:c r="I158" s="12"/>
    </x:row>
    <x:row r="159">
      <x:c r="A159" s="12"/>
      <x:c r="B159" s="12"/>
      <x:c r="C159" s="12"/>
      <x:c r="D159" s="12"/>
      <x:c r="E159" s="18"/>
      <x:c r="F159" s="12"/>
      <x:c r="G159" s="12"/>
      <x:c r="H159" s="12"/>
      <x:c r="I159" s="12"/>
    </x:row>
    <x:row r="160">
      <x:c r="A160" s="12"/>
      <x:c r="B160" s="12"/>
      <x:c r="C160" s="12"/>
      <x:c r="D160" s="12"/>
      <x:c r="E160" s="18"/>
      <x:c r="F160" s="12"/>
      <x:c r="G160" s="12"/>
      <x:c r="H160" s="12"/>
      <x:c r="I160" s="12"/>
    </x:row>
    <x:row r="161">
      <x:c r="A161" s="12"/>
      <x:c r="B161" s="12"/>
      <x:c r="C161" s="12"/>
      <x:c r="D161" s="12"/>
      <x:c r="E161" s="18"/>
      <x:c r="F161" s="12"/>
      <x:c r="G161" s="12"/>
      <x:c r="H161" s="12"/>
      <x:c r="I161" s="12"/>
    </x:row>
    <x:row r="162">
      <x:c r="A162" s="12"/>
      <x:c r="B162" s="12"/>
      <x:c r="C162" s="12"/>
      <x:c r="D162" s="12"/>
      <x:c r="E162" s="18"/>
      <x:c r="F162" s="12"/>
      <x:c r="G162" s="12"/>
      <x:c r="H162" s="12"/>
      <x:c r="I162" s="12"/>
    </x:row>
    <x:row r="163">
      <x:c r="A163" s="12"/>
      <x:c r="B163" s="12"/>
      <x:c r="C163" s="12"/>
      <x:c r="D163" s="12"/>
      <x:c r="E163" s="18"/>
      <x:c r="F163" s="12"/>
      <x:c r="G163" s="12"/>
      <x:c r="H163" s="12"/>
      <x:c r="I163" s="12"/>
    </x:row>
    <x:row r="164">
      <x:c r="A164" s="12"/>
      <x:c r="B164" s="12"/>
      <x:c r="C164" s="12"/>
      <x:c r="D164" s="12"/>
      <x:c r="E164" s="18"/>
      <x:c r="F164" s="12"/>
      <x:c r="G164" s="12"/>
      <x:c r="H164" s="12"/>
      <x:c r="I164" s="12"/>
    </x:row>
    <x:row r="165">
      <x:c r="A165" s="12"/>
      <x:c r="B165" s="12"/>
      <x:c r="C165" s="12"/>
      <x:c r="D165" s="12"/>
      <x:c r="E165" s="18"/>
      <x:c r="F165" s="12"/>
      <x:c r="G165" s="12"/>
      <x:c r="H165" s="12"/>
      <x:c r="I165" s="12"/>
    </x:row>
    <x:row r="166">
      <x:c r="A166" s="12"/>
      <x:c r="B166" s="12"/>
      <x:c r="C166" s="12"/>
      <x:c r="D166" s="12"/>
      <x:c r="E166" s="18"/>
      <x:c r="F166" s="12"/>
      <x:c r="G166" s="12"/>
      <x:c r="H166" s="12"/>
      <x:c r="I166" s="12"/>
    </x:row>
    <x:row r="167">
      <x:c r="A167" s="12"/>
      <x:c r="B167" s="12"/>
      <x:c r="C167" s="12"/>
      <x:c r="D167" s="12"/>
      <x:c r="E167" s="18"/>
      <x:c r="F167" s="12"/>
      <x:c r="G167" s="12"/>
      <x:c r="H167" s="12"/>
      <x:c r="I167" s="12"/>
    </x:row>
    <x:row r="168">
      <x:c r="A168" s="12"/>
      <x:c r="B168" s="12"/>
      <x:c r="C168" s="12"/>
      <x:c r="D168" s="12"/>
      <x:c r="E168" s="18"/>
      <x:c r="F168" s="12"/>
      <x:c r="G168" s="12"/>
      <x:c r="H168" s="12"/>
      <x:c r="I168" s="12"/>
    </x:row>
    <x:row r="169">
      <x:c r="A169" s="12"/>
      <x:c r="B169" s="12"/>
      <x:c r="C169" s="12"/>
      <x:c r="D169" s="12"/>
      <x:c r="E169" s="18"/>
      <x:c r="F169" s="12"/>
      <x:c r="G169" s="12"/>
      <x:c r="H169" s="12"/>
      <x:c r="I169" s="12"/>
    </x:row>
    <x:row r="170">
      <x:c r="A170" s="12"/>
      <x:c r="B170" s="12"/>
      <x:c r="C170" s="12"/>
      <x:c r="D170" s="12"/>
      <x:c r="E170" s="18"/>
      <x:c r="F170" s="12"/>
      <x:c r="G170" s="12"/>
      <x:c r="H170" s="12"/>
      <x:c r="I170" s="12"/>
    </x:row>
    <x:row r="171">
      <x:c r="A171" s="12"/>
      <x:c r="B171" s="12"/>
      <x:c r="C171" s="12"/>
      <x:c r="D171" s="12"/>
      <x:c r="E171" s="18"/>
      <x:c r="F171" s="12"/>
      <x:c r="G171" s="12"/>
      <x:c r="H171" s="12"/>
      <x:c r="I171" s="12"/>
    </x:row>
    <x:row r="172">
      <x:c r="A172" s="12"/>
      <x:c r="B172" s="12"/>
      <x:c r="C172" s="12"/>
      <x:c r="D172" s="12"/>
      <x:c r="E172" s="18"/>
      <x:c r="F172" s="12"/>
      <x:c r="G172" s="12"/>
      <x:c r="H172" s="12"/>
      <x:c r="I172" s="12"/>
    </x:row>
    <x:row r="173">
      <x:c r="A173" s="12"/>
      <x:c r="B173" s="12"/>
      <x:c r="C173" s="12"/>
      <x:c r="D173" s="12"/>
      <x:c r="E173" s="18"/>
      <x:c r="F173" s="12"/>
      <x:c r="G173" s="12"/>
      <x:c r="H173" s="12"/>
      <x:c r="I173" s="12"/>
    </x:row>
    <x:row r="174">
      <x:c r="A174" s="12"/>
      <x:c r="B174" s="12"/>
      <x:c r="C174" s="12"/>
      <x:c r="D174" s="12"/>
      <x:c r="E174" s="18"/>
      <x:c r="F174" s="12"/>
      <x:c r="G174" s="12"/>
      <x:c r="H174" s="12"/>
      <x:c r="I174" s="12"/>
    </x:row>
    <x:row r="175">
      <x:c r="A175" s="12"/>
      <x:c r="B175" s="12"/>
      <x:c r="C175" s="12"/>
      <x:c r="D175" s="12"/>
      <x:c r="E175" s="18"/>
      <x:c r="F175" s="12"/>
      <x:c r="G175" s="12"/>
      <x:c r="H175" s="12"/>
      <x:c r="I175" s="12"/>
    </x:row>
    <x:row r="176">
      <x:c r="A176" s="12"/>
      <x:c r="B176" s="12"/>
      <x:c r="C176" s="12"/>
      <x:c r="D176" s="12"/>
      <x:c r="E176" s="18"/>
      <x:c r="F176" s="12"/>
      <x:c r="G176" s="12"/>
      <x:c r="H176" s="12"/>
      <x:c r="I176" s="12"/>
    </x:row>
    <x:row r="177">
      <x:c r="A177" s="12"/>
      <x:c r="B177" s="12"/>
      <x:c r="C177" s="12"/>
      <x:c r="D177" s="12"/>
      <x:c r="E177" s="18"/>
      <x:c r="F177" s="12"/>
      <x:c r="G177" s="12"/>
      <x:c r="H177" s="12"/>
      <x:c r="I177" s="12"/>
    </x:row>
    <x:row r="178">
      <x:c r="A178" s="12"/>
      <x:c r="B178" s="12"/>
      <x:c r="C178" s="12"/>
      <x:c r="D178" s="12"/>
      <x:c r="E178" s="18"/>
      <x:c r="F178" s="12"/>
      <x:c r="G178" s="12"/>
      <x:c r="H178" s="12"/>
      <x:c r="I178" s="12"/>
    </x:row>
    <x:row r="179">
      <x:c r="A179" s="12"/>
      <x:c r="B179" s="12"/>
      <x:c r="C179" s="12"/>
      <x:c r="D179" s="12"/>
      <x:c r="E179" s="18"/>
      <x:c r="F179" s="12"/>
      <x:c r="G179" s="12"/>
      <x:c r="H179" s="12"/>
      <x:c r="I179" s="12"/>
    </x:row>
    <x:row r="180">
      <x:c r="A180" s="12"/>
      <x:c r="B180" s="12"/>
      <x:c r="C180" s="12"/>
      <x:c r="D180" s="12"/>
      <x:c r="E180" s="18"/>
      <x:c r="F180" s="12"/>
      <x:c r="G180" s="12"/>
      <x:c r="H180" s="12"/>
      <x:c r="I180" s="12"/>
    </x:row>
    <x:row r="181">
      <x:c r="A181" s="12"/>
      <x:c r="B181" s="12"/>
      <x:c r="C181" s="12"/>
      <x:c r="D181" s="12"/>
      <x:c r="E181" s="18"/>
      <x:c r="F181" s="12"/>
      <x:c r="G181" s="12"/>
      <x:c r="H181" s="12"/>
      <x:c r="I181" s="12"/>
    </x:row>
    <x:row r="182">
      <x:c r="A182" s="12"/>
      <x:c r="B182" s="12"/>
      <x:c r="C182" s="12"/>
      <x:c r="D182" s="12"/>
      <x:c r="E182" s="18"/>
      <x:c r="F182" s="12"/>
      <x:c r="G182" s="12"/>
      <x:c r="H182" s="12"/>
      <x:c r="I182" s="12"/>
    </x:row>
    <x:row r="183">
      <x:c r="A183" s="12"/>
      <x:c r="B183" s="12"/>
      <x:c r="C183" s="12"/>
      <x:c r="D183" s="12"/>
      <x:c r="E183" s="18"/>
      <x:c r="F183" s="12"/>
      <x:c r="G183" s="12"/>
      <x:c r="H183" s="12"/>
      <x:c r="I183" s="12"/>
    </x:row>
    <x:row r="184">
      <x:c r="A184" s="12"/>
      <x:c r="B184" s="12"/>
      <x:c r="C184" s="12"/>
      <x:c r="D184" s="12"/>
      <x:c r="E184" s="18"/>
      <x:c r="F184" s="12"/>
      <x:c r="G184" s="12"/>
      <x:c r="H184" s="12"/>
      <x:c r="I184" s="12"/>
    </x:row>
    <x:row r="185">
      <x:c r="A185" s="12"/>
      <x:c r="B185" s="12"/>
      <x:c r="C185" s="12"/>
      <x:c r="D185" s="12"/>
      <x:c r="E185" s="18"/>
      <x:c r="F185" s="12"/>
      <x:c r="G185" s="12"/>
      <x:c r="H185" s="12"/>
      <x:c r="I185" s="12"/>
    </x:row>
    <x:row r="186">
      <x:c r="A186" s="12"/>
      <x:c r="B186" s="12"/>
      <x:c r="C186" s="12"/>
      <x:c r="D186" s="12"/>
      <x:c r="E186" s="18"/>
      <x:c r="F186" s="12"/>
      <x:c r="G186" s="12"/>
      <x:c r="H186" s="12"/>
      <x:c r="I186" s="12"/>
    </x:row>
    <x:row r="187">
      <x:c r="A187" s="12"/>
      <x:c r="B187" s="12"/>
      <x:c r="C187" s="12"/>
      <x:c r="D187" s="12"/>
      <x:c r="E187" s="18"/>
      <x:c r="F187" s="12"/>
      <x:c r="G187" s="12"/>
      <x:c r="H187" s="12"/>
      <x:c r="I187" s="12"/>
    </x:row>
    <x:row r="188">
      <x:c r="A188" s="12"/>
      <x:c r="B188" s="12"/>
      <x:c r="C188" s="12"/>
      <x:c r="D188" s="12"/>
      <x:c r="E188" s="18"/>
      <x:c r="F188" s="12"/>
      <x:c r="G188" s="12"/>
      <x:c r="H188" s="12"/>
      <x:c r="I188" s="12"/>
    </x:row>
    <x:row r="189">
      <x:c r="A189" s="12"/>
      <x:c r="B189" s="12"/>
      <x:c r="C189" s="12"/>
      <x:c r="D189" s="12"/>
      <x:c r="E189" s="18"/>
      <x:c r="F189" s="12"/>
      <x:c r="G189" s="12"/>
      <x:c r="H189" s="12"/>
      <x:c r="I189" s="12"/>
    </x:row>
    <x:row r="190">
      <x:c r="A190" s="12"/>
      <x:c r="B190" s="12"/>
      <x:c r="C190" s="12"/>
      <x:c r="D190" s="12"/>
      <x:c r="E190" s="18"/>
      <x:c r="F190" s="12"/>
      <x:c r="G190" s="12"/>
      <x:c r="H190" s="12"/>
      <x:c r="I190" s="12"/>
    </x:row>
    <x:row r="191">
      <x:c r="A191" s="12"/>
      <x:c r="B191" s="12"/>
      <x:c r="C191" s="12"/>
      <x:c r="D191" s="12"/>
      <x:c r="E191" s="18"/>
      <x:c r="F191" s="12"/>
      <x:c r="G191" s="12"/>
      <x:c r="H191" s="12"/>
      <x:c r="I191" s="12"/>
    </x:row>
    <x:row r="192">
      <x:c r="A192" s="12"/>
      <x:c r="B192" s="12"/>
      <x:c r="C192" s="12"/>
      <x:c r="D192" s="12"/>
      <x:c r="E192" s="18"/>
      <x:c r="F192" s="12"/>
      <x:c r="G192" s="12"/>
      <x:c r="H192" s="12"/>
      <x:c r="I192" s="12"/>
    </x:row>
    <x:row r="193">
      <x:c r="A193" s="12"/>
      <x:c r="B193" s="12"/>
      <x:c r="C193" s="12"/>
      <x:c r="D193" s="12"/>
      <x:c r="E193" s="18"/>
      <x:c r="F193" s="12"/>
      <x:c r="G193" s="12"/>
      <x:c r="H193" s="12"/>
      <x:c r="I193" s="12"/>
    </x:row>
    <x:row r="194">
      <x:c r="A194" s="12"/>
      <x:c r="B194" s="12"/>
      <x:c r="C194" s="12"/>
      <x:c r="D194" s="12"/>
      <x:c r="E194" s="18"/>
      <x:c r="F194" s="12"/>
      <x:c r="G194" s="12"/>
      <x:c r="H194" s="12"/>
      <x:c r="I194" s="12"/>
    </x:row>
    <x:row r="195">
      <x:c r="A195" s="12"/>
      <x:c r="B195" s="12"/>
      <x:c r="C195" s="12"/>
      <x:c r="D195" s="12"/>
      <x:c r="E195" s="18"/>
      <x:c r="F195" s="12"/>
      <x:c r="G195" s="12"/>
      <x:c r="H195" s="12"/>
      <x:c r="I195" s="12"/>
    </x:row>
    <x:row r="196">
      <x:c r="A196" s="12"/>
      <x:c r="B196" s="12"/>
      <x:c r="C196" s="12"/>
      <x:c r="D196" s="12"/>
      <x:c r="E196" s="18"/>
      <x:c r="F196" s="12"/>
      <x:c r="G196" s="12"/>
      <x:c r="H196" s="12"/>
      <x:c r="I196" s="12"/>
    </x:row>
    <x:row r="197">
      <x:c r="A197" s="12"/>
      <x:c r="B197" s="12"/>
      <x:c r="C197" s="12"/>
      <x:c r="D197" s="12"/>
      <x:c r="E197" s="18"/>
      <x:c r="F197" s="12"/>
      <x:c r="G197" s="12"/>
      <x:c r="H197" s="12"/>
      <x:c r="I197" s="12"/>
    </x:row>
    <x:row r="198">
      <x:c r="A198" s="12"/>
      <x:c r="B198" s="12"/>
      <x:c r="C198" s="12"/>
      <x:c r="D198" s="12"/>
      <x:c r="E198" s="18"/>
      <x:c r="F198" s="12"/>
      <x:c r="G198" s="12"/>
      <x:c r="H198" s="12"/>
      <x:c r="I198" s="12"/>
    </x:row>
    <x:row r="199">
      <x:c r="A199" s="12"/>
      <x:c r="B199" s="12"/>
      <x:c r="C199" s="12"/>
      <x:c r="D199" s="12"/>
      <x:c r="E199" s="18"/>
      <x:c r="F199" s="12"/>
      <x:c r="G199" s="12"/>
      <x:c r="H199" s="12"/>
      <x:c r="I199" s="12"/>
    </x:row>
    <x:row r="200">
      <x:c r="A200" s="12"/>
      <x:c r="B200" s="12"/>
      <x:c r="C200" s="12"/>
      <x:c r="D200" s="12"/>
      <x:c r="E200" s="18"/>
      <x:c r="F200" s="12"/>
      <x:c r="G200" s="12"/>
      <x:c r="H200" s="12"/>
      <x:c r="I200" s="12"/>
    </x:row>
    <x:row r="201">
      <x:c r="A201" s="12"/>
      <x:c r="B201" s="12"/>
      <x:c r="C201" s="12"/>
      <x:c r="D201" s="12"/>
      <x:c r="E201" s="18"/>
      <x:c r="F201" s="12"/>
      <x:c r="G201" s="12"/>
      <x:c r="H201" s="12"/>
      <x:c r="I201" s="12"/>
    </x:row>
    <x:row r="202">
      <x:c r="A202" s="12"/>
      <x:c r="B202" s="12"/>
      <x:c r="C202" s="12"/>
      <x:c r="D202" s="12"/>
      <x:c r="E202" s="18"/>
      <x:c r="F202" s="12"/>
      <x:c r="G202" s="12"/>
      <x:c r="H202" s="12"/>
      <x:c r="I202" s="12"/>
    </x:row>
    <x:row r="203">
      <x:c r="A203" s="12"/>
      <x:c r="B203" s="12"/>
      <x:c r="C203" s="12"/>
      <x:c r="D203" s="12"/>
      <x:c r="E203" s="18"/>
      <x:c r="F203" s="12"/>
      <x:c r="G203" s="12"/>
      <x:c r="H203" s="12"/>
      <x:c r="I203" s="12"/>
    </x:row>
    <x:row r="204">
      <x:c r="A204" s="12"/>
      <x:c r="B204" s="12"/>
      <x:c r="C204" s="12"/>
      <x:c r="D204" s="12"/>
      <x:c r="E204" s="18"/>
      <x:c r="F204" s="12"/>
      <x:c r="G204" s="12"/>
      <x:c r="H204" s="12"/>
      <x:c r="I204" s="12"/>
    </x:row>
    <x:row r="205">
      <x:c r="A205" s="12"/>
      <x:c r="B205" s="12"/>
      <x:c r="C205" s="12"/>
      <x:c r="D205" s="12"/>
      <x:c r="E205" s="18"/>
      <x:c r="F205" s="12"/>
      <x:c r="G205" s="12"/>
      <x:c r="H205" s="12"/>
      <x:c r="I205" s="12"/>
    </x:row>
    <x:row r="206">
      <x:c r="A206" s="12"/>
      <x:c r="B206" s="12"/>
      <x:c r="C206" s="12"/>
      <x:c r="D206" s="12"/>
      <x:c r="E206" s="18"/>
      <x:c r="F206" s="12"/>
      <x:c r="G206" s="12"/>
      <x:c r="H206" s="12"/>
      <x:c r="I206" s="12"/>
    </x:row>
    <x:row r="207">
      <x:c r="A207" s="12"/>
      <x:c r="B207" s="12"/>
      <x:c r="C207" s="12"/>
      <x:c r="D207" s="12"/>
      <x:c r="E207" s="18"/>
      <x:c r="F207" s="12"/>
      <x:c r="G207" s="12"/>
      <x:c r="H207" s="12"/>
      <x:c r="I207" s="12"/>
    </x:row>
    <x:row r="208">
      <x:c r="A208" s="12"/>
      <x:c r="B208" s="12"/>
      <x:c r="C208" s="12"/>
      <x:c r="D208" s="12"/>
      <x:c r="E208" s="18"/>
      <x:c r="F208" s="12"/>
      <x:c r="G208" s="12"/>
      <x:c r="H208" s="12"/>
      <x:c r="I208" s="12"/>
    </x:row>
    <x:row r="209">
      <x:c r="A209" s="12"/>
      <x:c r="B209" s="12"/>
      <x:c r="C209" s="12"/>
      <x:c r="D209" s="12"/>
      <x:c r="E209" s="18"/>
      <x:c r="F209" s="12"/>
      <x:c r="G209" s="12"/>
      <x:c r="H209" s="12"/>
      <x:c r="I209" s="12"/>
    </x:row>
    <x:row r="210">
      <x:c r="A210" s="12"/>
      <x:c r="B210" s="12"/>
      <x:c r="C210" s="12"/>
      <x:c r="D210" s="12"/>
      <x:c r="E210" s="18"/>
      <x:c r="F210" s="12"/>
      <x:c r="G210" s="12"/>
      <x:c r="H210" s="12"/>
      <x:c r="I210" s="12"/>
    </x:row>
    <x:row r="211">
      <x:c r="A211" s="12"/>
      <x:c r="B211" s="12"/>
      <x:c r="C211" s="12"/>
      <x:c r="D211" s="12"/>
      <x:c r="E211" s="18"/>
      <x:c r="F211" s="12"/>
      <x:c r="G211" s="12"/>
      <x:c r="H211" s="12"/>
      <x:c r="I211" s="12"/>
    </x:row>
    <x:row r="212">
      <x:c r="A212" s="12"/>
      <x:c r="B212" s="12"/>
      <x:c r="C212" s="12"/>
      <x:c r="D212" s="12"/>
      <x:c r="E212" s="18"/>
      <x:c r="F212" s="12"/>
      <x:c r="G212" s="12"/>
      <x:c r="H212" s="12"/>
      <x:c r="I212" s="12"/>
    </x:row>
    <x:row r="213">
      <x:c r="A213" s="12"/>
      <x:c r="B213" s="12"/>
      <x:c r="C213" s="12"/>
      <x:c r="D213" s="12"/>
      <x:c r="E213" s="18"/>
      <x:c r="F213" s="12"/>
      <x:c r="G213" s="12"/>
      <x:c r="H213" s="12"/>
      <x:c r="I213" s="12"/>
    </x:row>
    <x:row r="214">
      <x:c r="A214" s="12"/>
      <x:c r="B214" s="12"/>
      <x:c r="C214" s="12"/>
      <x:c r="D214" s="12"/>
      <x:c r="E214" s="18"/>
      <x:c r="F214" s="12"/>
      <x:c r="G214" s="12"/>
      <x:c r="H214" s="12"/>
      <x:c r="I214" s="12"/>
    </x:row>
    <x:row r="215">
      <x:c r="A215" s="12"/>
      <x:c r="B215" s="12"/>
      <x:c r="C215" s="12"/>
      <x:c r="D215" s="12"/>
      <x:c r="E215" s="18"/>
      <x:c r="F215" s="12"/>
      <x:c r="G215" s="12"/>
      <x:c r="H215" s="12"/>
      <x:c r="I215" s="12"/>
    </x:row>
    <x:row r="216">
      <x:c r="A216" s="12"/>
      <x:c r="B216" s="12"/>
      <x:c r="C216" s="12"/>
      <x:c r="D216" s="12"/>
      <x:c r="E216" s="18"/>
      <x:c r="F216" s="12"/>
      <x:c r="G216" s="12"/>
      <x:c r="H216" s="12"/>
      <x:c r="I216" s="12"/>
    </x:row>
    <x:row r="217">
      <x:c r="A217" s="12"/>
      <x:c r="B217" s="12"/>
      <x:c r="C217" s="12"/>
      <x:c r="D217" s="12"/>
      <x:c r="E217" s="18"/>
      <x:c r="F217" s="12"/>
      <x:c r="G217" s="12"/>
      <x:c r="H217" s="12"/>
      <x:c r="I217" s="12"/>
    </x:row>
    <x:row r="218">
      <x:c r="A218" s="12"/>
      <x:c r="B218" s="12"/>
      <x:c r="C218" s="12"/>
      <x:c r="D218" s="12"/>
      <x:c r="E218" s="18"/>
      <x:c r="F218" s="12"/>
      <x:c r="G218" s="12"/>
      <x:c r="H218" s="12"/>
      <x:c r="I218" s="12"/>
    </x:row>
    <x:row r="219">
      <x:c r="A219" s="12"/>
      <x:c r="B219" s="12"/>
      <x:c r="C219" s="12"/>
      <x:c r="D219" s="12"/>
      <x:c r="E219" s="18"/>
      <x:c r="F219" s="12"/>
      <x:c r="G219" s="12"/>
      <x:c r="H219" s="12"/>
      <x:c r="I219" s="12"/>
    </x:row>
    <x:row r="220">
      <x:c r="A220" s="12"/>
      <x:c r="B220" s="12"/>
      <x:c r="C220" s="12"/>
      <x:c r="D220" s="12"/>
      <x:c r="E220" s="18"/>
      <x:c r="F220" s="12"/>
      <x:c r="G220" s="12"/>
      <x:c r="H220" s="12"/>
      <x:c r="I220" s="12"/>
    </x:row>
    <x:row r="221">
      <x:c r="A221" s="12"/>
      <x:c r="B221" s="12"/>
      <x:c r="C221" s="12"/>
      <x:c r="D221" s="12"/>
      <x:c r="E221" s="18"/>
      <x:c r="F221" s="12"/>
      <x:c r="G221" s="12"/>
      <x:c r="H221" s="12"/>
      <x:c r="I221" s="12"/>
    </x:row>
    <x:row r="222">
      <x:c r="A222" s="12"/>
      <x:c r="B222" s="12"/>
      <x:c r="C222" s="12"/>
      <x:c r="D222" s="12"/>
      <x:c r="E222" s="18"/>
      <x:c r="F222" s="12"/>
      <x:c r="G222" s="12"/>
      <x:c r="H222" s="12"/>
      <x:c r="I222" s="12"/>
    </x:row>
    <x:row r="223">
      <x:c r="A223" s="12"/>
      <x:c r="B223" s="12"/>
      <x:c r="C223" s="12"/>
      <x:c r="D223" s="12"/>
      <x:c r="E223" s="18"/>
      <x:c r="F223" s="12"/>
      <x:c r="G223" s="12"/>
      <x:c r="H223" s="12"/>
      <x:c r="I223" s="12"/>
    </x:row>
    <x:row r="224">
      <x:c r="A224" s="12"/>
      <x:c r="B224" s="12"/>
      <x:c r="C224" s="12"/>
      <x:c r="D224" s="12"/>
      <x:c r="E224" s="18"/>
      <x:c r="F224" s="12"/>
      <x:c r="G224" s="12"/>
      <x:c r="H224" s="12"/>
      <x:c r="I224" s="12"/>
    </x:row>
    <x:row r="225">
      <x:c r="A225" s="12"/>
      <x:c r="B225" s="12"/>
      <x:c r="C225" s="12"/>
      <x:c r="D225" s="12"/>
      <x:c r="E225" s="18"/>
      <x:c r="F225" s="12"/>
      <x:c r="G225" s="12"/>
      <x:c r="H225" s="12"/>
      <x:c r="I225" s="12"/>
    </x:row>
    <x:row r="226">
      <x:c r="A226" s="12"/>
      <x:c r="B226" s="12"/>
      <x:c r="C226" s="12"/>
      <x:c r="D226" s="12"/>
      <x:c r="E226" s="18"/>
      <x:c r="F226" s="12"/>
      <x:c r="G226" s="12"/>
      <x:c r="H226" s="12"/>
      <x:c r="I226" s="12"/>
    </x:row>
    <x:row r="227">
      <x:c r="A227" s="12"/>
      <x:c r="B227" s="12"/>
      <x:c r="C227" s="12"/>
      <x:c r="D227" s="12"/>
      <x:c r="E227" s="18"/>
      <x:c r="F227" s="12"/>
      <x:c r="G227" s="12"/>
      <x:c r="H227" s="12"/>
      <x:c r="I227" s="12"/>
    </x:row>
    <x:row r="228">
      <x:c r="A228" s="12"/>
      <x:c r="B228" s="12"/>
      <x:c r="C228" s="12"/>
      <x:c r="D228" s="12"/>
      <x:c r="E228" s="18"/>
      <x:c r="F228" s="12"/>
      <x:c r="G228" s="12"/>
      <x:c r="H228" s="12"/>
      <x:c r="I228" s="12"/>
    </x:row>
    <x:row r="229">
      <x:c r="A229" s="12"/>
      <x:c r="B229" s="12"/>
      <x:c r="C229" s="12"/>
      <x:c r="D229" s="12"/>
      <x:c r="E229" s="18"/>
      <x:c r="F229" s="12"/>
      <x:c r="G229" s="12"/>
      <x:c r="H229" s="12"/>
      <x:c r="I229" s="12"/>
    </x:row>
    <x:row r="230">
      <x:c r="A230" s="12"/>
      <x:c r="B230" s="12"/>
      <x:c r="C230" s="12"/>
      <x:c r="D230" s="12"/>
      <x:c r="E230" s="18"/>
      <x:c r="F230" s="12"/>
      <x:c r="G230" s="12"/>
      <x:c r="H230" s="12"/>
      <x:c r="I230" s="12"/>
    </x:row>
    <x:row r="231">
      <x:c r="A231" s="12"/>
      <x:c r="B231" s="12"/>
      <x:c r="C231" s="12"/>
      <x:c r="D231" s="12"/>
      <x:c r="E231" s="18"/>
      <x:c r="F231" s="12"/>
      <x:c r="G231" s="12"/>
      <x:c r="H231" s="12"/>
      <x:c r="I231" s="12"/>
    </x:row>
    <x:row r="232">
      <x:c r="A232" s="12"/>
      <x:c r="B232" s="12"/>
      <x:c r="C232" s="12"/>
      <x:c r="D232" s="12"/>
      <x:c r="E232" s="18"/>
      <x:c r="F232" s="12"/>
      <x:c r="G232" s="12"/>
      <x:c r="H232" s="12"/>
      <x:c r="I232" s="12"/>
    </x:row>
    <x:row r="233">
      <x:c r="A233" s="12"/>
      <x:c r="B233" s="12"/>
      <x:c r="C233" s="12"/>
      <x:c r="D233" s="12"/>
      <x:c r="E233" s="18"/>
      <x:c r="F233" s="12"/>
      <x:c r="G233" s="12"/>
      <x:c r="H233" s="12"/>
      <x:c r="I233" s="12"/>
    </x:row>
    <x:row r="234">
      <x:c r="A234" s="12"/>
      <x:c r="B234" s="12"/>
      <x:c r="C234" s="12"/>
      <x:c r="D234" s="12"/>
      <x:c r="E234" s="18"/>
      <x:c r="F234" s="12"/>
      <x:c r="G234" s="12"/>
      <x:c r="H234" s="12"/>
      <x:c r="I234" s="12"/>
    </x:row>
    <x:row r="235">
      <x:c r="A235" s="12"/>
      <x:c r="B235" s="12"/>
      <x:c r="C235" s="12"/>
      <x:c r="D235" s="12"/>
      <x:c r="E235" s="18"/>
      <x:c r="F235" s="12"/>
      <x:c r="G235" s="12"/>
      <x:c r="H235" s="12"/>
      <x:c r="I235" s="12"/>
    </x:row>
    <x:row r="236">
      <x:c r="A236" s="12"/>
      <x:c r="B236" s="12"/>
      <x:c r="C236" s="12"/>
      <x:c r="D236" s="12"/>
      <x:c r="E236" s="18"/>
      <x:c r="F236" s="12"/>
      <x:c r="G236" s="12"/>
      <x:c r="H236" s="12"/>
      <x:c r="I236" s="12"/>
    </x:row>
    <x:row r="237">
      <x:c r="A237" s="12"/>
      <x:c r="B237" s="12"/>
      <x:c r="C237" s="12"/>
      <x:c r="D237" s="12"/>
      <x:c r="E237" s="18"/>
      <x:c r="F237" s="12"/>
      <x:c r="G237" s="12"/>
      <x:c r="H237" s="12"/>
      <x:c r="I237" s="12"/>
    </x:row>
    <x:row r="238">
      <x:c r="A238" s="12"/>
      <x:c r="B238" s="12"/>
      <x:c r="C238" s="12"/>
      <x:c r="D238" s="12"/>
      <x:c r="E238" s="18"/>
      <x:c r="F238" s="12"/>
      <x:c r="G238" s="12"/>
      <x:c r="H238" s="12"/>
      <x:c r="I238" s="12"/>
    </x:row>
    <x:row r="239">
      <x:c r="A239" s="12"/>
      <x:c r="B239" s="12"/>
      <x:c r="C239" s="12"/>
      <x:c r="D239" s="12"/>
      <x:c r="E239" s="18"/>
      <x:c r="F239" s="12"/>
      <x:c r="G239" s="12"/>
      <x:c r="H239" s="12"/>
      <x:c r="I239" s="12"/>
    </x:row>
    <x:row r="240">
      <x:c r="A240" s="12"/>
      <x:c r="B240" s="12"/>
      <x:c r="C240" s="12"/>
      <x:c r="D240" s="12"/>
      <x:c r="E240" s="18"/>
      <x:c r="F240" s="12"/>
      <x:c r="G240" s="12"/>
      <x:c r="H240" s="12"/>
      <x:c r="I240" s="12"/>
    </x:row>
    <x:row r="241">
      <x:c r="A241" s="12"/>
      <x:c r="B241" s="12"/>
      <x:c r="C241" s="12"/>
      <x:c r="D241" s="12"/>
      <x:c r="E241" s="18"/>
      <x:c r="F241" s="12"/>
      <x:c r="G241" s="12"/>
      <x:c r="H241" s="12"/>
      <x:c r="I241" s="12"/>
    </x:row>
    <x:row r="242">
      <x:c r="A242" s="12"/>
      <x:c r="B242" s="12"/>
      <x:c r="C242" s="12"/>
      <x:c r="D242" s="12"/>
      <x:c r="E242" s="18"/>
      <x:c r="F242" s="12"/>
      <x:c r="G242" s="12"/>
      <x:c r="H242" s="12"/>
      <x:c r="I242" s="12"/>
    </x:row>
    <x:row r="243">
      <x:c r="A243" s="12"/>
      <x:c r="B243" s="12"/>
      <x:c r="C243" s="12"/>
      <x:c r="D243" s="12"/>
      <x:c r="E243" s="18"/>
      <x:c r="F243" s="12"/>
      <x:c r="G243" s="12"/>
      <x:c r="H243" s="12"/>
      <x:c r="I243" s="12"/>
    </x:row>
    <x:row r="244">
      <x:c r="A244" s="12"/>
      <x:c r="B244" s="12"/>
      <x:c r="C244" s="12"/>
      <x:c r="D244" s="12"/>
      <x:c r="E244" s="18"/>
      <x:c r="F244" s="12"/>
      <x:c r="G244" s="12"/>
      <x:c r="H244" s="12"/>
      <x:c r="I244" s="12"/>
    </x:row>
    <x:row r="245">
      <x:c r="A245" s="12"/>
      <x:c r="B245" s="12"/>
      <x:c r="C245" s="12"/>
      <x:c r="D245" s="12"/>
      <x:c r="E245" s="18"/>
      <x:c r="F245" s="12"/>
      <x:c r="G245" s="12"/>
      <x:c r="H245" s="12"/>
      <x:c r="I245" s="12"/>
    </x:row>
    <x:row r="246">
      <x:c r="A246" s="12"/>
      <x:c r="B246" s="12"/>
      <x:c r="C246" s="12"/>
      <x:c r="D246" s="12"/>
      <x:c r="E246" s="18"/>
      <x:c r="F246" s="12"/>
      <x:c r="G246" s="12"/>
      <x:c r="H246" s="12"/>
      <x:c r="I246" s="12"/>
    </x:row>
    <x:row r="247">
      <x:c r="A247" s="12"/>
      <x:c r="B247" s="12"/>
      <x:c r="C247" s="12"/>
      <x:c r="D247" s="12"/>
      <x:c r="E247" s="18"/>
      <x:c r="F247" s="12"/>
      <x:c r="G247" s="12"/>
      <x:c r="H247" s="12"/>
      <x:c r="I247" s="12"/>
    </x:row>
    <x:row r="248">
      <x:c r="A248" s="12"/>
      <x:c r="B248" s="12"/>
      <x:c r="C248" s="12"/>
      <x:c r="D248" s="12"/>
      <x:c r="E248" s="18"/>
      <x:c r="F248" s="12"/>
      <x:c r="G248" s="12"/>
      <x:c r="H248" s="12"/>
      <x:c r="I248" s="12"/>
    </x:row>
    <x:row r="249">
      <x:c r="A249" s="12"/>
      <x:c r="B249" s="12"/>
      <x:c r="C249" s="12"/>
      <x:c r="D249" s="12"/>
      <x:c r="E249" s="18"/>
      <x:c r="F249" s="12"/>
      <x:c r="G249" s="12"/>
      <x:c r="H249" s="12"/>
      <x:c r="I249" s="12"/>
    </x:row>
    <x:row r="250">
      <x:c r="A250" s="12"/>
      <x:c r="B250" s="12"/>
      <x:c r="C250" s="12"/>
      <x:c r="D250" s="12"/>
      <x:c r="E250" s="18"/>
      <x:c r="F250" s="12"/>
      <x:c r="G250" s="12"/>
      <x:c r="H250" s="12"/>
      <x:c r="I250" s="12"/>
    </x:row>
    <x:row r="251">
      <x:c r="A251" s="12"/>
      <x:c r="B251" s="12"/>
      <x:c r="C251" s="12"/>
      <x:c r="D251" s="12"/>
      <x:c r="E251" s="18"/>
      <x:c r="F251" s="12"/>
      <x:c r="G251" s="12"/>
      <x:c r="H251" s="12"/>
      <x:c r="I251" s="12"/>
    </x:row>
    <x:row r="252">
      <x:c r="A252" s="12"/>
      <x:c r="B252" s="12"/>
      <x:c r="C252" s="12"/>
      <x:c r="D252" s="12"/>
      <x:c r="E252" s="18"/>
      <x:c r="F252" s="12"/>
      <x:c r="G252" s="12"/>
      <x:c r="H252" s="12"/>
      <x:c r="I252" s="12"/>
    </x:row>
    <x:row r="253">
      <x:c r="A253" s="12"/>
      <x:c r="B253" s="12"/>
      <x:c r="C253" s="12"/>
      <x:c r="D253" s="12"/>
      <x:c r="E253" s="18"/>
      <x:c r="F253" s="12"/>
      <x:c r="G253" s="12"/>
      <x:c r="H253" s="12"/>
      <x:c r="I253" s="12"/>
    </x:row>
    <x:row r="254">
      <x:c r="A254" s="12"/>
      <x:c r="B254" s="12"/>
      <x:c r="C254" s="12"/>
      <x:c r="D254" s="12"/>
      <x:c r="E254" s="18"/>
      <x:c r="F254" s="12"/>
      <x:c r="G254" s="12"/>
      <x:c r="H254" s="12"/>
      <x:c r="I254" s="12"/>
    </x:row>
    <x:row r="255">
      <x:c r="A255" s="12"/>
      <x:c r="B255" s="12"/>
      <x:c r="C255" s="12"/>
      <x:c r="D255" s="12"/>
      <x:c r="E255" s="18"/>
      <x:c r="F255" s="12"/>
      <x:c r="G255" s="12"/>
      <x:c r="H255" s="12"/>
      <x:c r="I255" s="12"/>
    </x:row>
    <x:row r="256">
      <x:c r="A256" s="12"/>
      <x:c r="B256" s="12"/>
      <x:c r="C256" s="12"/>
      <x:c r="D256" s="12"/>
      <x:c r="E256" s="18"/>
      <x:c r="F256" s="12"/>
      <x:c r="G256" s="12"/>
      <x:c r="H256" s="12"/>
      <x:c r="I256" s="12"/>
    </x:row>
    <x:row r="257">
      <x:c r="A257" s="12"/>
      <x:c r="B257" s="12"/>
      <x:c r="C257" s="12"/>
      <x:c r="D257" s="12"/>
      <x:c r="E257" s="18"/>
      <x:c r="F257" s="12"/>
      <x:c r="G257" s="12"/>
      <x:c r="H257" s="12"/>
      <x:c r="I257" s="12"/>
    </x:row>
    <x:row r="258">
      <x:c r="A258" s="12"/>
      <x:c r="B258" s="12"/>
      <x:c r="C258" s="12"/>
      <x:c r="D258" s="12"/>
      <x:c r="E258" s="18"/>
      <x:c r="F258" s="12"/>
      <x:c r="G258" s="12"/>
      <x:c r="H258" s="12"/>
      <x:c r="I258" s="12"/>
    </x:row>
    <x:row r="259">
      <x:c r="A259" s="12"/>
      <x:c r="B259" s="12"/>
      <x:c r="C259" s="12"/>
      <x:c r="D259" s="12"/>
      <x:c r="E259" s="18"/>
      <x:c r="F259" s="12"/>
      <x:c r="G259" s="12"/>
      <x:c r="H259" s="12"/>
      <x:c r="I259" s="12"/>
    </x:row>
    <x:row r="260">
      <x:c r="A260" s="12"/>
      <x:c r="B260" s="12"/>
      <x:c r="C260" s="12"/>
      <x:c r="D260" s="12"/>
      <x:c r="E260" s="18"/>
      <x:c r="F260" s="12"/>
      <x:c r="G260" s="12"/>
      <x:c r="H260" s="12"/>
      <x:c r="I260" s="12"/>
    </x:row>
    <x:row r="261">
      <x:c r="A261" s="12"/>
      <x:c r="B261" s="12"/>
      <x:c r="C261" s="12"/>
      <x:c r="D261" s="12"/>
      <x:c r="E261" s="18"/>
      <x:c r="F261" s="12"/>
      <x:c r="G261" s="12"/>
      <x:c r="H261" s="12"/>
      <x:c r="I261" s="12"/>
    </x:row>
    <x:row r="262">
      <x:c r="A262" s="12"/>
      <x:c r="B262" s="12"/>
      <x:c r="C262" s="12"/>
      <x:c r="D262" s="12"/>
      <x:c r="E262" s="18"/>
      <x:c r="F262" s="12"/>
      <x:c r="G262" s="12"/>
      <x:c r="H262" s="12"/>
      <x:c r="I262" s="12"/>
    </x:row>
    <x:row r="263">
      <x:c r="A263" s="12"/>
      <x:c r="B263" s="12"/>
      <x:c r="C263" s="12"/>
      <x:c r="D263" s="12"/>
      <x:c r="E263" s="18"/>
      <x:c r="F263" s="12"/>
      <x:c r="G263" s="12"/>
      <x:c r="H263" s="12"/>
      <x:c r="I263" s="12"/>
    </x:row>
    <x:row r="264">
      <x:c r="A264" s="12"/>
      <x:c r="B264" s="12"/>
      <x:c r="C264" s="12"/>
      <x:c r="D264" s="12"/>
      <x:c r="E264" s="18"/>
      <x:c r="F264" s="12"/>
      <x:c r="G264" s="12"/>
      <x:c r="H264" s="12"/>
      <x:c r="I264" s="12"/>
    </x:row>
    <x:row r="265">
      <x:c r="A265" s="12"/>
      <x:c r="B265" s="12"/>
      <x:c r="C265" s="12"/>
      <x:c r="D265" s="12"/>
      <x:c r="E265" s="18"/>
      <x:c r="F265" s="12"/>
      <x:c r="G265" s="12"/>
      <x:c r="H265" s="12"/>
      <x:c r="I265" s="12"/>
    </x:row>
    <x:row r="266">
      <x:c r="A266" s="12"/>
      <x:c r="B266" s="12"/>
      <x:c r="C266" s="12"/>
      <x:c r="D266" s="12"/>
      <x:c r="E266" s="18"/>
      <x:c r="F266" s="12"/>
      <x:c r="G266" s="12"/>
      <x:c r="H266" s="12"/>
      <x:c r="I266" s="12"/>
    </x:row>
    <x:row r="267">
      <x:c r="A267" s="12"/>
      <x:c r="B267" s="12"/>
      <x:c r="C267" s="12"/>
      <x:c r="D267" s="12"/>
      <x:c r="E267" s="18"/>
      <x:c r="F267" s="12"/>
      <x:c r="G267" s="12"/>
      <x:c r="H267" s="12"/>
      <x:c r="I267" s="12"/>
    </x:row>
    <x:row r="268">
      <x:c r="A268" s="12"/>
      <x:c r="B268" s="12"/>
      <x:c r="C268" s="12"/>
      <x:c r="D268" s="12"/>
      <x:c r="E268" s="18"/>
      <x:c r="F268" s="12"/>
      <x:c r="G268" s="12"/>
      <x:c r="H268" s="12"/>
      <x:c r="I268" s="12"/>
    </x:row>
    <x:row r="269">
      <x:c r="A269" s="12"/>
      <x:c r="B269" s="12"/>
      <x:c r="C269" s="12"/>
      <x:c r="D269" s="12"/>
      <x:c r="E269" s="18"/>
      <x:c r="F269" s="12"/>
      <x:c r="G269" s="12"/>
      <x:c r="H269" s="12"/>
      <x:c r="I269" s="12"/>
    </x:row>
    <x:row r="270">
      <x:c r="A270" s="12"/>
      <x:c r="B270" s="12"/>
      <x:c r="C270" s="12"/>
      <x:c r="D270" s="12"/>
      <x:c r="E270" s="18"/>
      <x:c r="F270" s="12"/>
      <x:c r="G270" s="12"/>
      <x:c r="H270" s="12"/>
      <x:c r="I270" s="12"/>
    </x:row>
    <x:row r="271">
      <x:c r="A271" s="12"/>
      <x:c r="B271" s="12"/>
      <x:c r="C271" s="12"/>
      <x:c r="D271" s="12"/>
      <x:c r="E271" s="18"/>
      <x:c r="F271" s="12"/>
      <x:c r="G271" s="12"/>
      <x:c r="H271" s="12"/>
      <x:c r="I271" s="12"/>
    </x:row>
    <x:row r="272">
      <x:c r="A272" s="12"/>
      <x:c r="B272" s="12"/>
      <x:c r="C272" s="12"/>
      <x:c r="D272" s="12"/>
      <x:c r="E272" s="18"/>
      <x:c r="F272" s="12"/>
      <x:c r="G272" s="12"/>
      <x:c r="H272" s="12"/>
      <x:c r="I272" s="12"/>
    </x:row>
    <x:row r="273">
      <x:c r="A273" s="12"/>
      <x:c r="B273" s="12"/>
      <x:c r="C273" s="12"/>
      <x:c r="D273" s="12"/>
      <x:c r="E273" s="18"/>
      <x:c r="F273" s="12"/>
      <x:c r="G273" s="12"/>
      <x:c r="H273" s="12"/>
      <x:c r="I273" s="12"/>
    </x:row>
    <x:row r="274">
      <x:c r="A274" s="12"/>
      <x:c r="B274" s="12"/>
      <x:c r="C274" s="12"/>
      <x:c r="D274" s="12"/>
      <x:c r="E274" s="18"/>
      <x:c r="F274" s="12"/>
      <x:c r="G274" s="12"/>
      <x:c r="H274" s="12"/>
      <x:c r="I274" s="12"/>
    </x:row>
    <x:row r="275">
      <x:c r="A275" s="12"/>
      <x:c r="B275" s="12"/>
      <x:c r="C275" s="12"/>
      <x:c r="D275" s="12"/>
      <x:c r="E275" s="18"/>
      <x:c r="F275" s="12"/>
      <x:c r="G275" s="12"/>
      <x:c r="H275" s="12"/>
      <x:c r="I275" s="12"/>
    </x:row>
    <x:row r="276">
      <x:c r="A276" s="12"/>
      <x:c r="B276" s="12"/>
      <x:c r="C276" s="12"/>
      <x:c r="D276" s="12"/>
      <x:c r="E276" s="18"/>
      <x:c r="F276" s="12"/>
      <x:c r="G276" s="12"/>
      <x:c r="H276" s="12"/>
      <x:c r="I276" s="12"/>
    </x:row>
    <x:row r="277">
      <x:c r="A277" s="12"/>
      <x:c r="B277" s="12"/>
      <x:c r="C277" s="12"/>
      <x:c r="D277" s="12"/>
      <x:c r="E277" s="18"/>
      <x:c r="F277" s="12"/>
      <x:c r="G277" s="12"/>
      <x:c r="H277" s="12"/>
      <x:c r="I277" s="12"/>
    </x:row>
    <x:row r="278">
      <x:c r="A278" s="12"/>
      <x:c r="B278" s="12"/>
      <x:c r="C278" s="12"/>
      <x:c r="D278" s="12"/>
      <x:c r="E278" s="18"/>
      <x:c r="F278" s="12"/>
      <x:c r="G278" s="12"/>
      <x:c r="H278" s="12"/>
      <x:c r="I278" s="12"/>
    </x:row>
    <x:row r="279">
      <x:c r="A279" s="12"/>
      <x:c r="B279" s="12"/>
      <x:c r="C279" s="12"/>
      <x:c r="D279" s="12"/>
      <x:c r="E279" s="18"/>
      <x:c r="F279" s="12"/>
      <x:c r="G279" s="12"/>
      <x:c r="H279" s="12"/>
      <x:c r="I279" s="12"/>
    </x:row>
    <x:row r="280">
      <x:c r="A280" s="12"/>
      <x:c r="B280" s="12"/>
      <x:c r="C280" s="12"/>
      <x:c r="D280" s="12"/>
      <x:c r="E280" s="18"/>
      <x:c r="F280" s="12"/>
      <x:c r="G280" s="12"/>
      <x:c r="H280" s="12"/>
      <x:c r="I280" s="12"/>
    </x:row>
    <x:row r="281">
      <x:c r="A281" s="12"/>
      <x:c r="B281" s="12"/>
      <x:c r="C281" s="12"/>
      <x:c r="D281" s="12"/>
      <x:c r="E281" s="18"/>
      <x:c r="F281" s="12"/>
      <x:c r="G281" s="12"/>
      <x:c r="H281" s="12"/>
      <x:c r="I281" s="12"/>
    </x:row>
    <x:row r="282">
      <x:c r="A282" s="12"/>
      <x:c r="B282" s="12"/>
      <x:c r="C282" s="12"/>
      <x:c r="D282" s="12"/>
      <x:c r="E282" s="18"/>
      <x:c r="F282" s="12"/>
      <x:c r="G282" s="12"/>
      <x:c r="H282" s="12"/>
      <x:c r="I282" s="12"/>
    </x:row>
    <x:row r="283">
      <x:c r="A283" s="12"/>
      <x:c r="B283" s="12"/>
      <x:c r="C283" s="12"/>
      <x:c r="D283" s="12"/>
      <x:c r="E283" s="18"/>
      <x:c r="F283" s="12"/>
      <x:c r="G283" s="12"/>
      <x:c r="H283" s="12"/>
      <x:c r="I283" s="12"/>
    </x:row>
    <x:row r="284">
      <x:c r="A284" s="12"/>
      <x:c r="B284" s="12"/>
      <x:c r="C284" s="12"/>
      <x:c r="D284" s="12"/>
      <x:c r="E284" s="18"/>
      <x:c r="F284" s="12"/>
      <x:c r="G284" s="12"/>
      <x:c r="H284" s="12"/>
      <x:c r="I284" s="12"/>
    </x:row>
    <x:row r="285">
      <x:c r="A285" s="12"/>
      <x:c r="B285" s="12"/>
      <x:c r="C285" s="12"/>
      <x:c r="D285" s="12"/>
      <x:c r="E285" s="18"/>
      <x:c r="F285" s="12"/>
      <x:c r="G285" s="12"/>
      <x:c r="H285" s="12"/>
      <x:c r="I285" s="12"/>
    </x:row>
    <x:row r="286">
      <x:c r="A286" s="12"/>
      <x:c r="B286" s="12"/>
      <x:c r="C286" s="12"/>
      <x:c r="D286" s="12"/>
      <x:c r="E286" s="18"/>
      <x:c r="F286" s="12"/>
      <x:c r="G286" s="12"/>
      <x:c r="H286" s="12"/>
      <x:c r="I286" s="12"/>
    </x:row>
    <x:row r="287">
      <x:c r="A287" s="12"/>
      <x:c r="B287" s="12"/>
      <x:c r="C287" s="12"/>
      <x:c r="D287" s="12"/>
      <x:c r="E287" s="18"/>
      <x:c r="F287" s="12"/>
      <x:c r="G287" s="12"/>
      <x:c r="H287" s="12"/>
      <x:c r="I287" s="12"/>
    </x:row>
    <x:row r="288">
      <x:c r="A288" s="12"/>
      <x:c r="B288" s="12"/>
      <x:c r="C288" s="12"/>
      <x:c r="D288" s="12"/>
      <x:c r="E288" s="18"/>
      <x:c r="F288" s="12"/>
      <x:c r="G288" s="12"/>
      <x:c r="H288" s="12"/>
      <x:c r="I288" s="12"/>
    </x:row>
    <x:row r="289">
      <x:c r="A289" s="12"/>
      <x:c r="B289" s="12"/>
      <x:c r="C289" s="12"/>
      <x:c r="D289" s="12"/>
      <x:c r="E289" s="18"/>
      <x:c r="F289" s="12"/>
      <x:c r="G289" s="12"/>
      <x:c r="H289" s="12"/>
      <x:c r="I289" s="12"/>
    </x:row>
    <x:row r="290">
      <x:c r="A290" s="12"/>
      <x:c r="B290" s="12"/>
      <x:c r="C290" s="12"/>
      <x:c r="D290" s="12"/>
      <x:c r="E290" s="18"/>
      <x:c r="F290" s="12"/>
      <x:c r="G290" s="12"/>
      <x:c r="H290" s="12"/>
      <x:c r="I290" s="12"/>
    </x:row>
    <x:row r="291">
      <x:c r="A291" s="12"/>
      <x:c r="B291" s="12"/>
      <x:c r="C291" s="12"/>
      <x:c r="D291" s="12"/>
      <x:c r="E291" s="18"/>
      <x:c r="F291" s="12"/>
      <x:c r="G291" s="12"/>
      <x:c r="H291" s="12"/>
      <x:c r="I291" s="12"/>
    </x:row>
    <x:row r="292">
      <x:c r="A292" s="12"/>
      <x:c r="B292" s="12"/>
      <x:c r="C292" s="12"/>
      <x:c r="D292" s="12"/>
      <x:c r="E292" s="18"/>
      <x:c r="F292" s="12"/>
      <x:c r="G292" s="12"/>
      <x:c r="H292" s="12"/>
      <x:c r="I292" s="12"/>
    </x:row>
    <x:row r="293">
      <x:c r="A293" s="12"/>
      <x:c r="B293" s="12"/>
      <x:c r="C293" s="12"/>
      <x:c r="D293" s="12"/>
      <x:c r="E293" s="18"/>
      <x:c r="F293" s="12"/>
      <x:c r="G293" s="12"/>
      <x:c r="H293" s="12"/>
      <x:c r="I293" s="12"/>
    </x:row>
    <x:row r="294">
      <x:c r="A294" s="12"/>
      <x:c r="B294" s="12"/>
      <x:c r="C294" s="12"/>
      <x:c r="D294" s="12"/>
      <x:c r="E294" s="18"/>
      <x:c r="F294" s="12"/>
      <x:c r="G294" s="12"/>
      <x:c r="H294" s="12"/>
      <x:c r="I294" s="12"/>
    </x:row>
    <x:row r="295">
      <x:c r="A295" s="12"/>
      <x:c r="B295" s="12"/>
      <x:c r="C295" s="12"/>
      <x:c r="D295" s="12"/>
      <x:c r="E295" s="18"/>
      <x:c r="F295" s="12"/>
      <x:c r="G295" s="12"/>
      <x:c r="H295" s="12"/>
      <x:c r="I295" s="12"/>
    </x:row>
    <x:row r="296">
      <x:c r="A296" s="12"/>
      <x:c r="B296" s="12"/>
      <x:c r="C296" s="12"/>
      <x:c r="D296" s="12"/>
      <x:c r="E296" s="18"/>
      <x:c r="F296" s="12"/>
      <x:c r="G296" s="12"/>
      <x:c r="H296" s="12"/>
      <x:c r="I296" s="12"/>
    </x:row>
    <x:row r="297">
      <x:c r="A297" s="12"/>
      <x:c r="B297" s="12"/>
      <x:c r="C297" s="12"/>
      <x:c r="D297" s="12"/>
      <x:c r="E297" s="18"/>
      <x:c r="F297" s="12"/>
      <x:c r="G297" s="12"/>
      <x:c r="H297" s="12"/>
      <x:c r="I297" s="12"/>
    </x:row>
    <x:row r="298">
      <x:c r="A298" s="12"/>
      <x:c r="B298" s="12"/>
      <x:c r="C298" s="12"/>
      <x:c r="D298" s="12"/>
      <x:c r="E298" s="18"/>
      <x:c r="F298" s="12"/>
      <x:c r="G298" s="12"/>
      <x:c r="H298" s="12"/>
      <x:c r="I298" s="12"/>
    </x:row>
    <x:row r="299">
      <x:c r="A299" s="12"/>
      <x:c r="B299" s="12"/>
      <x:c r="C299" s="12"/>
      <x:c r="D299" s="12"/>
      <x:c r="E299" s="18"/>
      <x:c r="F299" s="12"/>
      <x:c r="G299" s="12"/>
      <x:c r="H299" s="12"/>
      <x:c r="I299" s="12"/>
    </x:row>
    <x:row r="300">
      <x:c r="A300" s="12"/>
      <x:c r="B300" s="12"/>
      <x:c r="C300" s="12"/>
      <x:c r="D300" s="12"/>
      <x:c r="E300" s="18"/>
      <x:c r="F300" s="12"/>
      <x:c r="G300" s="12"/>
      <x:c r="H300" s="12"/>
      <x:c r="I300" s="12"/>
    </x:row>
    <x:row r="301">
      <x:c r="A301" s="12"/>
      <x:c r="B301" s="12"/>
      <x:c r="C301" s="12"/>
      <x:c r="D301" s="12"/>
      <x:c r="E301" s="18"/>
      <x:c r="F301" s="12"/>
      <x:c r="G301" s="12"/>
      <x:c r="H301" s="12"/>
      <x:c r="I301" s="12"/>
    </x:row>
    <x:row r="302">
      <x:c r="A302" s="12"/>
      <x:c r="B302" s="12"/>
      <x:c r="C302" s="12"/>
      <x:c r="D302" s="12"/>
      <x:c r="E302" s="18"/>
      <x:c r="F302" s="12"/>
      <x:c r="G302" s="12"/>
      <x:c r="H302" s="12"/>
      <x:c r="I302" s="12"/>
    </x:row>
    <x:row r="303">
      <x:c r="A303" s="12"/>
      <x:c r="B303" s="12"/>
      <x:c r="C303" s="12"/>
      <x:c r="D303" s="12"/>
      <x:c r="E303" s="18"/>
      <x:c r="F303" s="12"/>
      <x:c r="G303" s="12"/>
      <x:c r="H303" s="12"/>
      <x:c r="I303" s="12"/>
    </x:row>
    <x:row r="304">
      <x:c r="A304" s="12"/>
      <x:c r="B304" s="12"/>
      <x:c r="C304" s="12"/>
      <x:c r="D304" s="12"/>
      <x:c r="E304" s="18"/>
      <x:c r="F304" s="12"/>
      <x:c r="G304" s="12"/>
      <x:c r="H304" s="12"/>
      <x:c r="I304" s="12"/>
    </x:row>
    <x:row r="305">
      <x:c r="A305" s="12"/>
      <x:c r="B305" s="12"/>
      <x:c r="C305" s="12"/>
      <x:c r="D305" s="12"/>
      <x:c r="E305" s="18"/>
      <x:c r="F305" s="12"/>
      <x:c r="G305" s="12"/>
      <x:c r="H305" s="12"/>
      <x:c r="I305" s="12"/>
    </x:row>
    <x:row r="306">
      <x:c r="A306" s="12"/>
      <x:c r="B306" s="12"/>
      <x:c r="C306" s="12"/>
      <x:c r="D306" s="12"/>
      <x:c r="E306" s="18"/>
      <x:c r="F306" s="12"/>
      <x:c r="G306" s="12"/>
      <x:c r="H306" s="12"/>
      <x:c r="I306" s="12"/>
    </x:row>
    <x:row r="307">
      <x:c r="A307" s="12"/>
      <x:c r="B307" s="12"/>
      <x:c r="C307" s="12"/>
      <x:c r="D307" s="12"/>
      <x:c r="E307" s="18"/>
      <x:c r="F307" s="12"/>
      <x:c r="G307" s="12"/>
      <x:c r="H307" s="12"/>
      <x:c r="I307" s="12"/>
    </x:row>
    <x:row r="308">
      <x:c r="A308" s="12"/>
      <x:c r="B308" s="12"/>
      <x:c r="C308" s="12"/>
      <x:c r="D308" s="12"/>
      <x:c r="E308" s="18"/>
      <x:c r="F308" s="12"/>
      <x:c r="G308" s="12"/>
      <x:c r="H308" s="12"/>
      <x:c r="I308" s="12"/>
    </x:row>
    <x:row r="309">
      <x:c r="A309" s="12"/>
      <x:c r="B309" s="12"/>
      <x:c r="C309" s="12"/>
      <x:c r="D309" s="12"/>
      <x:c r="E309" s="18"/>
      <x:c r="F309" s="12"/>
      <x:c r="G309" s="12"/>
      <x:c r="H309" s="12"/>
      <x:c r="I309" s="12"/>
    </x:row>
    <x:row r="310">
      <x:c r="A310" s="12"/>
      <x:c r="B310" s="12"/>
      <x:c r="C310" s="12"/>
      <x:c r="D310" s="12"/>
      <x:c r="E310" s="18"/>
      <x:c r="F310" s="12"/>
      <x:c r="G310" s="12"/>
      <x:c r="H310" s="12"/>
      <x:c r="I310" s="12"/>
    </x:row>
    <x:row r="311">
      <x:c r="A311" s="12"/>
      <x:c r="B311" s="12"/>
      <x:c r="C311" s="12"/>
      <x:c r="D311" s="12"/>
      <x:c r="E311" s="18"/>
      <x:c r="F311" s="12"/>
      <x:c r="G311" s="12"/>
      <x:c r="H311" s="12"/>
      <x:c r="I311" s="12"/>
    </x:row>
    <x:row r="312">
      <x:c r="A312" s="12"/>
      <x:c r="B312" s="12"/>
      <x:c r="C312" s="12"/>
      <x:c r="D312" s="12"/>
      <x:c r="E312" s="18"/>
      <x:c r="F312" s="12"/>
      <x:c r="G312" s="12"/>
      <x:c r="H312" s="12"/>
      <x:c r="I312" s="12"/>
    </x:row>
    <x:row r="313">
      <x:c r="A313" s="12"/>
      <x:c r="B313" s="12"/>
      <x:c r="C313" s="12"/>
      <x:c r="D313" s="12"/>
      <x:c r="E313" s="18"/>
      <x:c r="F313" s="12"/>
      <x:c r="G313" s="12"/>
      <x:c r="H313" s="12"/>
      <x:c r="I313" s="12"/>
    </x:row>
    <x:row r="314">
      <x:c r="A314" s="12"/>
      <x:c r="B314" s="12"/>
      <x:c r="C314" s="12"/>
      <x:c r="D314" s="12"/>
      <x:c r="E314" s="18"/>
      <x:c r="F314" s="12"/>
      <x:c r="G314" s="12"/>
      <x:c r="H314" s="12"/>
      <x:c r="I314" s="12"/>
    </x:row>
    <x:row r="315">
      <x:c r="A315" s="12"/>
      <x:c r="B315" s="12"/>
      <x:c r="C315" s="12"/>
      <x:c r="D315" s="12"/>
      <x:c r="E315" s="18"/>
      <x:c r="F315" s="12"/>
      <x:c r="G315" s="12"/>
      <x:c r="H315" s="12"/>
      <x:c r="I315" s="12"/>
    </x:row>
    <x:row r="316">
      <x:c r="A316" s="12"/>
      <x:c r="B316" s="12"/>
      <x:c r="C316" s="12"/>
      <x:c r="D316" s="12"/>
      <x:c r="E316" s="18"/>
      <x:c r="F316" s="12"/>
      <x:c r="G316" s="12"/>
      <x:c r="H316" s="12"/>
      <x:c r="I316" s="12"/>
    </x:row>
    <x:row r="317">
      <x:c r="A317" s="12"/>
      <x:c r="B317" s="12"/>
      <x:c r="C317" s="12"/>
      <x:c r="D317" s="12"/>
      <x:c r="E317" s="18"/>
      <x:c r="F317" s="12"/>
      <x:c r="G317" s="12"/>
      <x:c r="H317" s="12"/>
      <x:c r="I317" s="12"/>
    </x:row>
    <x:row r="318">
      <x:c r="A318" s="12"/>
      <x:c r="B318" s="12"/>
      <x:c r="C318" s="12"/>
      <x:c r="D318" s="12"/>
      <x:c r="E318" s="18"/>
      <x:c r="F318" s="12"/>
      <x:c r="G318" s="12"/>
      <x:c r="H318" s="12"/>
      <x:c r="I318" s="12"/>
    </x:row>
    <x:row r="319">
      <x:c r="A319" s="12"/>
      <x:c r="B319" s="12"/>
      <x:c r="C319" s="12"/>
      <x:c r="D319" s="12"/>
      <x:c r="E319" s="18"/>
      <x:c r="F319" s="12"/>
      <x:c r="G319" s="12"/>
      <x:c r="H319" s="12"/>
      <x:c r="I319" s="12"/>
    </x:row>
    <x:row r="320">
      <x:c r="A320" s="12"/>
      <x:c r="B320" s="12"/>
      <x:c r="C320" s="12"/>
      <x:c r="D320" s="12"/>
      <x:c r="E320" s="18"/>
      <x:c r="F320" s="12"/>
      <x:c r="G320" s="12"/>
      <x:c r="H320" s="12"/>
      <x:c r="I320" s="12"/>
    </x:row>
    <x:row r="321">
      <x:c r="A321" s="12"/>
      <x:c r="B321" s="12"/>
      <x:c r="C321" s="12"/>
      <x:c r="D321" s="12"/>
      <x:c r="E321" s="18"/>
      <x:c r="F321" s="12"/>
      <x:c r="G321" s="12"/>
      <x:c r="H321" s="12"/>
      <x:c r="I321" s="12"/>
    </x:row>
    <x:row r="322">
      <x:c r="A322" s="12"/>
      <x:c r="B322" s="12"/>
      <x:c r="C322" s="12"/>
      <x:c r="D322" s="12"/>
      <x:c r="E322" s="18"/>
      <x:c r="F322" s="12"/>
      <x:c r="G322" s="12"/>
      <x:c r="H322" s="12"/>
      <x:c r="I322" s="12"/>
    </x:row>
    <x:row r="323">
      <x:c r="A323" s="12"/>
      <x:c r="B323" s="12"/>
      <x:c r="C323" s="12"/>
      <x:c r="D323" s="12"/>
      <x:c r="E323" s="18"/>
      <x:c r="F323" s="12"/>
      <x:c r="G323" s="12"/>
      <x:c r="H323" s="12"/>
      <x:c r="I323" s="12"/>
    </x:row>
    <x:row r="324">
      <x:c r="A324" s="12"/>
      <x:c r="B324" s="12"/>
      <x:c r="C324" s="12"/>
      <x:c r="D324" s="12"/>
      <x:c r="E324" s="18"/>
      <x:c r="F324" s="12"/>
      <x:c r="G324" s="12"/>
      <x:c r="H324" s="12"/>
      <x:c r="I324" s="12"/>
    </x:row>
    <x:row r="325">
      <x:c r="A325" s="12"/>
      <x:c r="B325" s="12"/>
      <x:c r="C325" s="12"/>
      <x:c r="D325" s="12"/>
      <x:c r="E325" s="18"/>
      <x:c r="F325" s="12"/>
      <x:c r="G325" s="12"/>
      <x:c r="H325" s="12"/>
      <x:c r="I325" s="12"/>
    </x:row>
    <x:row r="326">
      <x:c r="A326" s="12"/>
      <x:c r="B326" s="12"/>
      <x:c r="C326" s="12"/>
      <x:c r="D326" s="12"/>
      <x:c r="E326" s="18"/>
      <x:c r="F326" s="12"/>
      <x:c r="G326" s="12"/>
      <x:c r="H326" s="12"/>
      <x:c r="I326" s="12"/>
    </x:row>
    <x:row r="327">
      <x:c r="A327" s="12"/>
      <x:c r="B327" s="12"/>
      <x:c r="C327" s="12"/>
      <x:c r="D327" s="12"/>
      <x:c r="E327" s="18"/>
      <x:c r="F327" s="12"/>
      <x:c r="G327" s="12"/>
      <x:c r="H327" s="12"/>
      <x:c r="I327" s="12"/>
    </x:row>
    <x:row r="328">
      <x:c r="A328" s="12"/>
      <x:c r="B328" s="12"/>
      <x:c r="C328" s="12"/>
      <x:c r="D328" s="12"/>
      <x:c r="E328" s="18"/>
      <x:c r="F328" s="12"/>
      <x:c r="G328" s="12"/>
      <x:c r="H328" s="12"/>
      <x:c r="I328" s="12"/>
    </x:row>
    <x:row r="329">
      <x:c r="A329" s="12"/>
      <x:c r="B329" s="12"/>
      <x:c r="C329" s="12"/>
      <x:c r="D329" s="12"/>
      <x:c r="E329" s="18"/>
      <x:c r="F329" s="12"/>
      <x:c r="G329" s="12"/>
      <x:c r="H329" s="12"/>
      <x:c r="I329" s="12"/>
    </x:row>
    <x:row r="330">
      <x:c r="A330" s="12"/>
      <x:c r="B330" s="12"/>
      <x:c r="C330" s="12"/>
      <x:c r="D330" s="12"/>
      <x:c r="E330" s="18"/>
      <x:c r="F330" s="12"/>
      <x:c r="G330" s="12"/>
      <x:c r="H330" s="12"/>
      <x:c r="I330" s="12"/>
    </x:row>
    <x:row r="331">
      <x:c r="A331" s="12"/>
      <x:c r="B331" s="12"/>
      <x:c r="C331" s="12"/>
      <x:c r="D331" s="12"/>
      <x:c r="E331" s="18"/>
      <x:c r="F331" s="12"/>
      <x:c r="G331" s="12"/>
      <x:c r="H331" s="12"/>
      <x:c r="I331" s="12"/>
    </x:row>
    <x:row r="332">
      <x:c r="A332" s="12"/>
      <x:c r="B332" s="12"/>
      <x:c r="C332" s="12"/>
      <x:c r="D332" s="12"/>
      <x:c r="E332" s="18"/>
      <x:c r="F332" s="12"/>
      <x:c r="G332" s="12"/>
      <x:c r="H332" s="12"/>
      <x:c r="I332" s="12"/>
    </x:row>
    <x:row r="333">
      <x:c r="A333" s="12"/>
      <x:c r="B333" s="12"/>
      <x:c r="C333" s="12"/>
      <x:c r="D333" s="12"/>
      <x:c r="E333" s="18"/>
      <x:c r="F333" s="12"/>
      <x:c r="G333" s="12"/>
      <x:c r="H333" s="12"/>
      <x:c r="I333" s="12"/>
    </x:row>
    <x:row r="334">
      <x:c r="A334" s="12"/>
      <x:c r="B334" s="12"/>
      <x:c r="C334" s="12"/>
      <x:c r="D334" s="12"/>
      <x:c r="E334" s="18"/>
      <x:c r="F334" s="12"/>
      <x:c r="G334" s="12"/>
      <x:c r="H334" s="12"/>
      <x:c r="I334" s="12"/>
    </x:row>
    <x:row r="335">
      <x:c r="A335" s="12"/>
      <x:c r="B335" s="12"/>
      <x:c r="C335" s="12"/>
      <x:c r="D335" s="12"/>
      <x:c r="E335" s="18"/>
      <x:c r="F335" s="12"/>
      <x:c r="G335" s="12"/>
      <x:c r="H335" s="12"/>
      <x:c r="I335" s="12"/>
    </x:row>
    <x:row r="336">
      <x:c r="A336" s="12"/>
      <x:c r="B336" s="12"/>
      <x:c r="C336" s="12"/>
      <x:c r="D336" s="12"/>
      <x:c r="E336" s="18"/>
      <x:c r="F336" s="12"/>
      <x:c r="G336" s="12"/>
      <x:c r="H336" s="12"/>
      <x:c r="I336" s="12"/>
    </x:row>
    <x:row r="337">
      <x:c r="A337" s="12"/>
      <x:c r="B337" s="12"/>
      <x:c r="C337" s="12"/>
      <x:c r="D337" s="12"/>
      <x:c r="E337" s="18"/>
      <x:c r="F337" s="12"/>
      <x:c r="G337" s="12"/>
      <x:c r="H337" s="12"/>
      <x:c r="I337" s="12"/>
    </x:row>
    <x:row r="338">
      <x:c r="A338" s="12"/>
      <x:c r="B338" s="12"/>
      <x:c r="C338" s="12"/>
      <x:c r="D338" s="12"/>
      <x:c r="E338" s="18"/>
      <x:c r="F338" s="12"/>
      <x:c r="G338" s="12"/>
      <x:c r="H338" s="12"/>
      <x:c r="I338" s="12"/>
    </x:row>
    <x:row r="339">
      <x:c r="A339" s="12"/>
      <x:c r="B339" s="12"/>
      <x:c r="C339" s="12"/>
      <x:c r="D339" s="12"/>
      <x:c r="E339" s="18"/>
      <x:c r="F339" s="12"/>
      <x:c r="G339" s="12"/>
      <x:c r="H339" s="12"/>
      <x:c r="I339" s="12"/>
    </x:row>
    <x:row r="340">
      <x:c r="A340" s="12"/>
      <x:c r="B340" s="12"/>
      <x:c r="C340" s="12"/>
      <x:c r="D340" s="12"/>
      <x:c r="E340" s="18"/>
      <x:c r="F340" s="12"/>
      <x:c r="G340" s="12"/>
      <x:c r="H340" s="12"/>
      <x:c r="I340" s="12"/>
    </x:row>
    <x:row r="341">
      <x:c r="A341" s="12"/>
      <x:c r="B341" s="12"/>
      <x:c r="C341" s="12"/>
      <x:c r="D341" s="12"/>
      <x:c r="E341" s="18"/>
      <x:c r="F341" s="12"/>
      <x:c r="G341" s="12"/>
      <x:c r="H341" s="12"/>
      <x:c r="I341" s="12"/>
    </x:row>
    <x:row r="342">
      <x:c r="A342" s="12"/>
      <x:c r="B342" s="12"/>
      <x:c r="C342" s="12"/>
      <x:c r="D342" s="12"/>
      <x:c r="E342" s="18"/>
      <x:c r="F342" s="12"/>
      <x:c r="G342" s="12"/>
      <x:c r="H342" s="12"/>
      <x:c r="I342" s="12"/>
    </x:row>
    <x:row r="343">
      <x:c r="A343" s="12"/>
      <x:c r="B343" s="12"/>
      <x:c r="C343" s="12"/>
      <x:c r="D343" s="12"/>
      <x:c r="E343" s="18"/>
      <x:c r="F343" s="12"/>
      <x:c r="G343" s="12"/>
      <x:c r="H343" s="12"/>
      <x:c r="I343" s="12"/>
    </x:row>
    <x:row r="344">
      <x:c r="A344" s="12"/>
      <x:c r="B344" s="12"/>
      <x:c r="C344" s="12"/>
      <x:c r="D344" s="12"/>
      <x:c r="E344" s="18"/>
      <x:c r="F344" s="12"/>
      <x:c r="G344" s="12"/>
      <x:c r="H344" s="12"/>
      <x:c r="I344" s="12"/>
    </x:row>
    <x:row r="345">
      <x:c r="A345" s="12"/>
      <x:c r="B345" s="12"/>
      <x:c r="C345" s="12"/>
      <x:c r="D345" s="12"/>
      <x:c r="E345" s="18"/>
      <x:c r="F345" s="12"/>
      <x:c r="G345" s="12"/>
      <x:c r="H345" s="12"/>
      <x:c r="I345" s="12"/>
    </x:row>
    <x:row r="346">
      <x:c r="A346" s="12"/>
      <x:c r="B346" s="12"/>
      <x:c r="C346" s="12"/>
      <x:c r="D346" s="12"/>
      <x:c r="E346" s="18"/>
      <x:c r="F346" s="12"/>
      <x:c r="G346" s="12"/>
      <x:c r="H346" s="12"/>
      <x:c r="I346" s="12"/>
    </x:row>
    <x:row r="347">
      <x:c r="A347" s="12"/>
      <x:c r="B347" s="12"/>
      <x:c r="C347" s="12"/>
      <x:c r="D347" s="12"/>
      <x:c r="E347" s="18"/>
      <x:c r="F347" s="12"/>
      <x:c r="G347" s="12"/>
      <x:c r="H347" s="12"/>
      <x:c r="I347" s="12"/>
    </x:row>
    <x:row r="348">
      <x:c r="A348" s="12"/>
      <x:c r="B348" s="12"/>
      <x:c r="C348" s="12"/>
      <x:c r="D348" s="12"/>
      <x:c r="E348" s="18"/>
      <x:c r="F348" s="12"/>
      <x:c r="G348" s="12"/>
      <x:c r="H348" s="12"/>
      <x:c r="I348" s="12"/>
    </x:row>
    <x:row r="349">
      <x:c r="A349" s="12"/>
      <x:c r="B349" s="12"/>
      <x:c r="C349" s="12"/>
      <x:c r="D349" s="12"/>
      <x:c r="E349" s="18"/>
      <x:c r="F349" s="12"/>
      <x:c r="G349" s="12"/>
      <x:c r="H349" s="12"/>
      <x:c r="I349" s="12"/>
    </x:row>
    <x:row r="350">
      <x:c r="A350" s="12"/>
      <x:c r="B350" s="12"/>
      <x:c r="C350" s="12"/>
      <x:c r="D350" s="12"/>
      <x:c r="E350" s="18"/>
      <x:c r="F350" s="12"/>
      <x:c r="G350" s="12"/>
      <x:c r="H350" s="12"/>
      <x:c r="I350" s="12"/>
    </x:row>
    <x:row r="351">
      <x:c r="A351" s="12"/>
      <x:c r="B351" s="12"/>
      <x:c r="C351" s="12"/>
      <x:c r="D351" s="12"/>
      <x:c r="E351" s="18"/>
      <x:c r="F351" s="12"/>
      <x:c r="G351" s="12"/>
      <x:c r="H351" s="12"/>
      <x:c r="I351" s="12"/>
    </x:row>
    <x:row r="352">
      <x:c r="A352" s="12"/>
      <x:c r="B352" s="12"/>
      <x:c r="C352" s="12"/>
      <x:c r="D352" s="12"/>
      <x:c r="E352" s="18"/>
      <x:c r="F352" s="12"/>
      <x:c r="G352" s="12"/>
      <x:c r="H352" s="12"/>
      <x:c r="I352" s="12"/>
    </x:row>
    <x:row r="353">
      <x:c r="A353" s="12"/>
      <x:c r="B353" s="12"/>
      <x:c r="C353" s="12"/>
      <x:c r="D353" s="12"/>
      <x:c r="E353" s="18"/>
      <x:c r="F353" s="12"/>
      <x:c r="G353" s="12"/>
      <x:c r="H353" s="12"/>
      <x:c r="I353" s="12"/>
    </x:row>
    <x:row r="354">
      <x:c r="A354" s="12"/>
      <x:c r="B354" s="12"/>
      <x:c r="C354" s="12"/>
      <x:c r="D354" s="12"/>
      <x:c r="E354" s="18"/>
      <x:c r="F354" s="12"/>
      <x:c r="G354" s="12"/>
      <x:c r="H354" s="12"/>
      <x:c r="I354" s="12"/>
    </x:row>
    <x:row r="355">
      <x:c r="A355" s="12"/>
      <x:c r="B355" s="12"/>
      <x:c r="C355" s="12"/>
      <x:c r="D355" s="12"/>
      <x:c r="E355" s="18"/>
      <x:c r="F355" s="12"/>
      <x:c r="G355" s="12"/>
      <x:c r="H355" s="12"/>
      <x:c r="I355" s="12"/>
    </x:row>
    <x:row r="356">
      <x:c r="A356" s="12"/>
      <x:c r="B356" s="12"/>
      <x:c r="C356" s="12"/>
      <x:c r="D356" s="12"/>
      <x:c r="E356" s="18"/>
      <x:c r="F356" s="12"/>
      <x:c r="G356" s="12"/>
      <x:c r="H356" s="12"/>
      <x:c r="I356" s="12"/>
    </x:row>
    <x:row r="357">
      <x:c r="A357" s="12"/>
      <x:c r="B357" s="12"/>
      <x:c r="C357" s="12"/>
      <x:c r="D357" s="12"/>
      <x:c r="E357" s="18"/>
      <x:c r="F357" s="12"/>
      <x:c r="G357" s="12"/>
      <x:c r="H357" s="12"/>
      <x:c r="I357" s="12"/>
    </x:row>
    <x:row r="358">
      <x:c r="A358" s="12"/>
      <x:c r="B358" s="12"/>
      <x:c r="C358" s="12"/>
      <x:c r="D358" s="12"/>
      <x:c r="E358" s="18"/>
      <x:c r="F358" s="12"/>
      <x:c r="G358" s="12"/>
      <x:c r="H358" s="12"/>
      <x:c r="I358" s="12"/>
    </x:row>
    <x:row r="359">
      <x:c r="A359" s="12"/>
      <x:c r="B359" s="12"/>
      <x:c r="C359" s="12"/>
      <x:c r="D359" s="12"/>
      <x:c r="E359" s="18"/>
      <x:c r="F359" s="12"/>
      <x:c r="G359" s="12"/>
      <x:c r="H359" s="12"/>
      <x:c r="I359" s="12"/>
    </x:row>
    <x:row r="360">
      <x:c r="A360" s="12"/>
      <x:c r="B360" s="12"/>
      <x:c r="C360" s="12"/>
      <x:c r="D360" s="12"/>
      <x:c r="E360" s="18"/>
      <x:c r="F360" s="12"/>
      <x:c r="G360" s="12"/>
      <x:c r="H360" s="12"/>
      <x:c r="I360" s="12"/>
    </x:row>
    <x:row r="361">
      <x:c r="A361" s="12"/>
      <x:c r="B361" s="12"/>
      <x:c r="C361" s="12"/>
      <x:c r="D361" s="12"/>
      <x:c r="E361" s="18"/>
      <x:c r="F361" s="12"/>
      <x:c r="G361" s="12"/>
      <x:c r="H361" s="12"/>
      <x:c r="I361" s="12"/>
    </x:row>
    <x:row r="362">
      <x:c r="A362" s="12"/>
      <x:c r="B362" s="12"/>
      <x:c r="C362" s="12"/>
      <x:c r="D362" s="12"/>
      <x:c r="E362" s="18"/>
      <x:c r="F362" s="12"/>
      <x:c r="G362" s="12"/>
      <x:c r="H362" s="12"/>
      <x:c r="I362" s="12"/>
    </x:row>
    <x:row r="363">
      <x:c r="A363" s="12"/>
      <x:c r="B363" s="12"/>
      <x:c r="C363" s="12"/>
      <x:c r="D363" s="12"/>
      <x:c r="E363" s="18"/>
      <x:c r="F363" s="12"/>
      <x:c r="G363" s="12"/>
      <x:c r="H363" s="12"/>
      <x:c r="I363" s="12"/>
    </x:row>
    <x:row r="364">
      <x:c r="A364" s="12"/>
      <x:c r="B364" s="12"/>
      <x:c r="C364" s="12"/>
      <x:c r="D364" s="12"/>
      <x:c r="E364" s="18"/>
      <x:c r="F364" s="12"/>
      <x:c r="G364" s="12"/>
      <x:c r="H364" s="12"/>
      <x:c r="I364" s="12"/>
    </x:row>
    <x:row r="365">
      <x:c r="A365" s="12"/>
      <x:c r="B365" s="12"/>
      <x:c r="C365" s="12"/>
      <x:c r="D365" s="12"/>
      <x:c r="E365" s="18"/>
      <x:c r="F365" s="12"/>
      <x:c r="G365" s="12"/>
      <x:c r="H365" s="12"/>
      <x:c r="I365" s="12"/>
    </x:row>
    <x:row r="366">
      <x:c r="A366" s="12"/>
      <x:c r="B366" s="12"/>
      <x:c r="C366" s="12"/>
      <x:c r="D366" s="12"/>
      <x:c r="E366" s="18"/>
      <x:c r="F366" s="12"/>
      <x:c r="G366" s="12"/>
      <x:c r="H366" s="12"/>
      <x:c r="I366" s="12"/>
    </x:row>
    <x:row r="367">
      <x:c r="A367" s="12"/>
      <x:c r="B367" s="12"/>
      <x:c r="C367" s="12"/>
      <x:c r="D367" s="12"/>
      <x:c r="E367" s="18"/>
      <x:c r="F367" s="12"/>
      <x:c r="G367" s="12"/>
      <x:c r="H367" s="12"/>
      <x:c r="I367" s="12"/>
    </x:row>
    <x:row r="368">
      <x:c r="A368" s="12"/>
      <x:c r="B368" s="12"/>
      <x:c r="C368" s="12"/>
      <x:c r="D368" s="12"/>
      <x:c r="E368" s="18"/>
      <x:c r="F368" s="12"/>
      <x:c r="G368" s="12"/>
      <x:c r="H368" s="12"/>
      <x:c r="I368" s="12"/>
    </x:row>
    <x:row r="369">
      <x:c r="A369" s="12"/>
      <x:c r="B369" s="12"/>
      <x:c r="C369" s="12"/>
      <x:c r="D369" s="12"/>
      <x:c r="E369" s="18"/>
      <x:c r="F369" s="12"/>
      <x:c r="G369" s="12"/>
      <x:c r="H369" s="12"/>
      <x:c r="I369" s="12"/>
    </x:row>
    <x:row r="370">
      <x:c r="A370" s="12"/>
      <x:c r="B370" s="12"/>
      <x:c r="C370" s="12"/>
      <x:c r="D370" s="12"/>
      <x:c r="E370" s="18"/>
      <x:c r="F370" s="12"/>
      <x:c r="G370" s="12"/>
      <x:c r="H370" s="12"/>
      <x:c r="I370" s="12"/>
    </x:row>
    <x:row r="371">
      <x:c r="A371" s="12"/>
      <x:c r="B371" s="12"/>
      <x:c r="C371" s="12"/>
      <x:c r="D371" s="12"/>
      <x:c r="E371" s="18"/>
      <x:c r="F371" s="12"/>
      <x:c r="G371" s="12"/>
      <x:c r="H371" s="12"/>
      <x:c r="I371" s="12"/>
    </x:row>
    <x:row r="372">
      <x:c r="A372" s="12"/>
      <x:c r="B372" s="12"/>
      <x:c r="C372" s="12"/>
      <x:c r="D372" s="12"/>
      <x:c r="E372" s="18"/>
      <x:c r="F372" s="12"/>
      <x:c r="G372" s="12"/>
      <x:c r="H372" s="12"/>
      <x:c r="I372" s="12"/>
    </x:row>
    <x:row r="373">
      <x:c r="A373" s="12"/>
      <x:c r="B373" s="12"/>
      <x:c r="C373" s="12"/>
      <x:c r="D373" s="12"/>
      <x:c r="E373" s="18"/>
      <x:c r="F373" s="12"/>
      <x:c r="G373" s="12"/>
      <x:c r="H373" s="12"/>
      <x:c r="I373" s="12"/>
    </x:row>
    <x:row r="374">
      <x:c r="A374" s="12"/>
      <x:c r="B374" s="12"/>
      <x:c r="C374" s="12"/>
      <x:c r="D374" s="12"/>
      <x:c r="E374" s="18"/>
      <x:c r="F374" s="12"/>
      <x:c r="G374" s="12"/>
      <x:c r="H374" s="12"/>
      <x:c r="I374" s="12"/>
    </x:row>
    <x:row r="375">
      <x:c r="A375" s="12"/>
      <x:c r="B375" s="12"/>
      <x:c r="C375" s="12"/>
      <x:c r="D375" s="12"/>
      <x:c r="E375" s="18"/>
      <x:c r="F375" s="12"/>
      <x:c r="G375" s="12"/>
      <x:c r="H375" s="12"/>
      <x:c r="I375" s="12"/>
    </x:row>
    <x:row r="376">
      <x:c r="A376" s="12"/>
      <x:c r="B376" s="12"/>
      <x:c r="C376" s="12"/>
      <x:c r="D376" s="12"/>
      <x:c r="E376" s="18"/>
      <x:c r="F376" s="12"/>
      <x:c r="G376" s="12"/>
      <x:c r="H376" s="12"/>
      <x:c r="I376" s="12"/>
    </x:row>
    <x:row r="377">
      <x:c r="A377" s="12"/>
      <x:c r="B377" s="12"/>
      <x:c r="C377" s="12"/>
      <x:c r="D377" s="12"/>
      <x:c r="E377" s="18"/>
      <x:c r="F377" s="12"/>
      <x:c r="G377" s="12"/>
      <x:c r="H377" s="12"/>
      <x:c r="I377" s="12"/>
    </x:row>
    <x:row r="378">
      <x:c r="A378" s="12"/>
      <x:c r="B378" s="12"/>
      <x:c r="C378" s="12"/>
      <x:c r="D378" s="12"/>
      <x:c r="E378" s="18"/>
      <x:c r="F378" s="12"/>
      <x:c r="G378" s="12"/>
      <x:c r="H378" s="12"/>
      <x:c r="I378" s="12"/>
    </x:row>
    <x:row r="379">
      <x:c r="A379" s="12"/>
      <x:c r="B379" s="12"/>
      <x:c r="C379" s="12"/>
      <x:c r="D379" s="12"/>
      <x:c r="E379" s="18"/>
      <x:c r="F379" s="12"/>
      <x:c r="G379" s="12"/>
      <x:c r="H379" s="12"/>
      <x:c r="I379" s="12"/>
    </x:row>
    <x:row r="380">
      <x:c r="A380" s="12"/>
      <x:c r="B380" s="12"/>
      <x:c r="C380" s="12"/>
      <x:c r="D380" s="12"/>
      <x:c r="E380" s="18"/>
      <x:c r="F380" s="12"/>
      <x:c r="G380" s="12"/>
      <x:c r="H380" s="12"/>
      <x:c r="I380" s="12"/>
    </x:row>
    <x:row r="381">
      <x:c r="A381" s="12"/>
      <x:c r="B381" s="12"/>
      <x:c r="C381" s="12"/>
      <x:c r="D381" s="12"/>
      <x:c r="E381" s="18"/>
      <x:c r="F381" s="12"/>
      <x:c r="G381" s="12"/>
      <x:c r="H381" s="12"/>
      <x:c r="I381" s="12"/>
    </x:row>
    <x:row r="382">
      <x:c r="A382" s="12"/>
      <x:c r="B382" s="12"/>
      <x:c r="C382" s="12"/>
      <x:c r="D382" s="12"/>
      <x:c r="E382" s="18"/>
      <x:c r="F382" s="12"/>
      <x:c r="G382" s="12"/>
      <x:c r="H382" s="12"/>
      <x:c r="I382" s="12"/>
    </x:row>
    <x:row r="383">
      <x:c r="A383" s="12"/>
      <x:c r="B383" s="12"/>
      <x:c r="C383" s="12"/>
      <x:c r="D383" s="12"/>
      <x:c r="E383" s="18"/>
      <x:c r="F383" s="12"/>
      <x:c r="G383" s="12"/>
      <x:c r="H383" s="12"/>
      <x:c r="I383" s="12"/>
    </x:row>
    <x:row r="384">
      <x:c r="A384" s="12"/>
      <x:c r="B384" s="12"/>
      <x:c r="C384" s="12"/>
      <x:c r="D384" s="12"/>
      <x:c r="E384" s="18"/>
      <x:c r="F384" s="12"/>
      <x:c r="G384" s="12"/>
      <x:c r="H384" s="12"/>
      <x:c r="I384" s="12"/>
    </x:row>
    <x:row r="385">
      <x:c r="A385" s="12"/>
      <x:c r="B385" s="12"/>
      <x:c r="C385" s="12"/>
      <x:c r="D385" s="12"/>
      <x:c r="E385" s="18"/>
      <x:c r="F385" s="12"/>
      <x:c r="G385" s="12"/>
      <x:c r="H385" s="12"/>
      <x:c r="I385" s="12"/>
    </x:row>
    <x:row r="386">
      <x:c r="A386" s="12"/>
      <x:c r="B386" s="12"/>
      <x:c r="C386" s="12"/>
      <x:c r="D386" s="12"/>
      <x:c r="E386" s="18"/>
      <x:c r="F386" s="12"/>
      <x:c r="G386" s="12"/>
      <x:c r="H386" s="12"/>
      <x:c r="I386" s="12"/>
    </x:row>
    <x:row r="387">
      <x:c r="A387" s="12"/>
      <x:c r="B387" s="12"/>
      <x:c r="C387" s="12"/>
      <x:c r="D387" s="12"/>
      <x:c r="E387" s="18"/>
      <x:c r="F387" s="12"/>
      <x:c r="G387" s="12"/>
      <x:c r="H387" s="12"/>
      <x:c r="I387" s="12"/>
    </x:row>
    <x:row r="388">
      <x:c r="A388" s="12"/>
      <x:c r="B388" s="12"/>
      <x:c r="C388" s="12"/>
      <x:c r="D388" s="12"/>
      <x:c r="E388" s="18"/>
      <x:c r="F388" s="12"/>
      <x:c r="G388" s="12"/>
      <x:c r="H388" s="12"/>
      <x:c r="I388" s="12"/>
    </x:row>
    <x:row r="389">
      <x:c r="A389" s="12"/>
      <x:c r="B389" s="12"/>
      <x:c r="C389" s="12"/>
      <x:c r="D389" s="12"/>
      <x:c r="E389" s="18"/>
      <x:c r="F389" s="12"/>
      <x:c r="G389" s="12"/>
      <x:c r="H389" s="12"/>
      <x:c r="I389" s="12"/>
    </x:row>
    <x:row r="390">
      <x:c r="A390" s="12"/>
      <x:c r="B390" s="12"/>
      <x:c r="C390" s="12"/>
      <x:c r="D390" s="12"/>
      <x:c r="E390" s="18"/>
      <x:c r="F390" s="12"/>
      <x:c r="G390" s="12"/>
      <x:c r="H390" s="12"/>
      <x:c r="I390" s="12"/>
    </x:row>
    <x:row r="391">
      <x:c r="A391" s="12"/>
      <x:c r="B391" s="12"/>
      <x:c r="C391" s="12"/>
      <x:c r="D391" s="12"/>
      <x:c r="E391" s="18"/>
      <x:c r="F391" s="12"/>
      <x:c r="G391" s="12"/>
      <x:c r="H391" s="12"/>
      <x:c r="I391" s="12"/>
    </x:row>
    <x:row r="392">
      <x:c r="A392" s="12"/>
      <x:c r="B392" s="12"/>
      <x:c r="C392" s="12"/>
      <x:c r="D392" s="12"/>
      <x:c r="E392" s="18"/>
      <x:c r="F392" s="12"/>
      <x:c r="G392" s="12"/>
      <x:c r="H392" s="12"/>
      <x:c r="I392" s="12"/>
    </x:row>
    <x:row r="393">
      <x:c r="A393" s="12"/>
      <x:c r="B393" s="12"/>
      <x:c r="C393" s="12"/>
      <x:c r="D393" s="12"/>
      <x:c r="E393" s="18"/>
      <x:c r="F393" s="12"/>
      <x:c r="G393" s="12"/>
      <x:c r="H393" s="12"/>
      <x:c r="I393" s="12"/>
    </x:row>
    <x:row r="394">
      <x:c r="A394" s="12"/>
      <x:c r="B394" s="12"/>
      <x:c r="C394" s="12"/>
      <x:c r="D394" s="12"/>
      <x:c r="E394" s="18"/>
      <x:c r="F394" s="12"/>
      <x:c r="G394" s="12"/>
      <x:c r="H394" s="12"/>
      <x:c r="I394" s="12"/>
    </x:row>
    <x:row r="395">
      <x:c r="A395" s="12"/>
      <x:c r="B395" s="12"/>
      <x:c r="C395" s="12"/>
      <x:c r="D395" s="12"/>
      <x:c r="E395" s="18"/>
      <x:c r="F395" s="12"/>
      <x:c r="G395" s="12"/>
      <x:c r="H395" s="12"/>
      <x:c r="I395" s="12"/>
    </x:row>
    <x:row r="396">
      <x:c r="A396" s="12"/>
      <x:c r="B396" s="12"/>
      <x:c r="C396" s="12"/>
      <x:c r="D396" s="12"/>
      <x:c r="E396" s="18"/>
      <x:c r="F396" s="12"/>
      <x:c r="G396" s="12"/>
      <x:c r="H396" s="12"/>
      <x:c r="I396" s="12"/>
    </x:row>
    <x:row r="397">
      <x:c r="A397" s="12"/>
      <x:c r="B397" s="12"/>
      <x:c r="C397" s="12"/>
      <x:c r="D397" s="12"/>
      <x:c r="E397" s="18"/>
      <x:c r="F397" s="12"/>
      <x:c r="G397" s="12"/>
      <x:c r="H397" s="12"/>
      <x:c r="I397" s="12"/>
    </x:row>
    <x:row r="398">
      <x:c r="A398" s="12"/>
      <x:c r="B398" s="12"/>
      <x:c r="C398" s="12"/>
      <x:c r="D398" s="12"/>
      <x:c r="E398" s="18"/>
      <x:c r="F398" s="12"/>
      <x:c r="G398" s="12"/>
      <x:c r="H398" s="12"/>
      <x:c r="I398" s="12"/>
    </x:row>
    <x:row r="399">
      <x:c r="A399" s="12"/>
      <x:c r="B399" s="12"/>
      <x:c r="C399" s="12"/>
      <x:c r="D399" s="12"/>
      <x:c r="E399" s="18"/>
      <x:c r="F399" s="12"/>
      <x:c r="G399" s="12"/>
      <x:c r="H399" s="12"/>
      <x:c r="I399" s="12"/>
    </x:row>
    <x:row r="400">
      <x:c r="A400" s="12"/>
      <x:c r="B400" s="12"/>
      <x:c r="C400" s="12"/>
      <x:c r="D400" s="12"/>
      <x:c r="E400" s="18"/>
      <x:c r="F400" s="12"/>
      <x:c r="G400" s="12"/>
      <x:c r="H400" s="12"/>
      <x:c r="I400" s="12"/>
    </x:row>
    <x:row r="401">
      <x:c r="A401" s="12"/>
      <x:c r="B401" s="12"/>
      <x:c r="C401" s="12"/>
      <x:c r="D401" s="12"/>
      <x:c r="E401" s="18"/>
      <x:c r="F401" s="12"/>
      <x:c r="G401" s="12"/>
      <x:c r="H401" s="12"/>
      <x:c r="I401" s="12"/>
    </x:row>
    <x:row r="402">
      <x:c r="A402" s="12"/>
      <x:c r="B402" s="12"/>
      <x:c r="C402" s="12"/>
      <x:c r="D402" s="12"/>
      <x:c r="E402" s="18"/>
      <x:c r="F402" s="12"/>
      <x:c r="G402" s="12"/>
      <x:c r="H402" s="12"/>
      <x:c r="I402" s="12"/>
    </x:row>
    <x:row r="403">
      <x:c r="A403" s="12"/>
      <x:c r="B403" s="12"/>
      <x:c r="C403" s="12"/>
      <x:c r="D403" s="12"/>
      <x:c r="E403" s="18"/>
      <x:c r="F403" s="12"/>
      <x:c r="G403" s="12"/>
      <x:c r="H403" s="12"/>
      <x:c r="I403" s="12"/>
    </x:row>
    <x:row r="404">
      <x:c r="A404" s="12"/>
      <x:c r="B404" s="12"/>
      <x:c r="C404" s="12"/>
      <x:c r="D404" s="12"/>
      <x:c r="E404" s="18"/>
      <x:c r="F404" s="12"/>
      <x:c r="G404" s="12"/>
      <x:c r="H404" s="12"/>
      <x:c r="I404" s="12"/>
    </x:row>
    <x:row r="405">
      <x:c r="A405" s="12"/>
      <x:c r="B405" s="12"/>
      <x:c r="C405" s="12"/>
      <x:c r="D405" s="12"/>
      <x:c r="E405" s="18"/>
      <x:c r="F405" s="12"/>
      <x:c r="G405" s="12"/>
      <x:c r="H405" s="12"/>
      <x:c r="I405" s="12"/>
    </x:row>
    <x:row r="406">
      <x:c r="A406" s="12"/>
      <x:c r="B406" s="12"/>
      <x:c r="C406" s="12"/>
      <x:c r="D406" s="12"/>
      <x:c r="E406" s="18"/>
      <x:c r="F406" s="12"/>
      <x:c r="G406" s="12"/>
      <x:c r="H406" s="12"/>
      <x:c r="I406" s="12"/>
    </x:row>
    <x:row r="407">
      <x:c r="A407" s="12"/>
      <x:c r="B407" s="12"/>
      <x:c r="C407" s="12"/>
      <x:c r="D407" s="12"/>
      <x:c r="E407" s="18"/>
      <x:c r="F407" s="12"/>
      <x:c r="G407" s="12"/>
      <x:c r="H407" s="12"/>
      <x:c r="I407" s="12"/>
    </x:row>
    <x:row r="408">
      <x:c r="A408" s="12"/>
      <x:c r="B408" s="12"/>
      <x:c r="C408" s="12"/>
      <x:c r="D408" s="12"/>
      <x:c r="E408" s="18"/>
      <x:c r="F408" s="12"/>
      <x:c r="G408" s="12"/>
      <x:c r="H408" s="12"/>
      <x:c r="I408" s="12"/>
    </x:row>
    <x:row r="409">
      <x:c r="A409" s="12"/>
      <x:c r="B409" s="12"/>
      <x:c r="C409" s="12"/>
      <x:c r="D409" s="12"/>
      <x:c r="E409" s="18"/>
      <x:c r="F409" s="12"/>
      <x:c r="G409" s="12"/>
      <x:c r="H409" s="12"/>
      <x:c r="I409" s="12"/>
    </x:row>
    <x:row r="410">
      <x:c r="A410" s="12"/>
      <x:c r="B410" s="12"/>
      <x:c r="C410" s="12"/>
      <x:c r="D410" s="12"/>
      <x:c r="E410" s="18"/>
      <x:c r="F410" s="12"/>
      <x:c r="G410" s="12"/>
      <x:c r="H410" s="12"/>
      <x:c r="I410" s="12"/>
    </x:row>
    <x:row r="411">
      <x:c r="A411" s="12"/>
      <x:c r="B411" s="12"/>
      <x:c r="C411" s="12"/>
      <x:c r="D411" s="12"/>
      <x:c r="E411" s="18"/>
      <x:c r="F411" s="12"/>
      <x:c r="G411" s="12"/>
      <x:c r="H411" s="12"/>
      <x:c r="I411" s="12"/>
    </x:row>
    <x:row r="412">
      <x:c r="A412" s="12"/>
      <x:c r="B412" s="12"/>
      <x:c r="C412" s="12"/>
      <x:c r="D412" s="12"/>
      <x:c r="E412" s="18"/>
      <x:c r="F412" s="12"/>
      <x:c r="G412" s="12"/>
      <x:c r="H412" s="12"/>
      <x:c r="I412" s="12"/>
    </x:row>
    <x:row r="413">
      <x:c r="A413" s="12"/>
      <x:c r="B413" s="12"/>
      <x:c r="C413" s="12"/>
      <x:c r="D413" s="12"/>
      <x:c r="E413" s="18"/>
      <x:c r="F413" s="12"/>
      <x:c r="G413" s="12"/>
      <x:c r="H413" s="12"/>
      <x:c r="I413" s="12"/>
    </x:row>
    <x:row r="414">
      <x:c r="A414" s="12"/>
      <x:c r="B414" s="12"/>
      <x:c r="C414" s="12"/>
      <x:c r="D414" s="12"/>
      <x:c r="E414" s="18"/>
      <x:c r="F414" s="12"/>
      <x:c r="G414" s="12"/>
      <x:c r="H414" s="12"/>
      <x:c r="I414" s="12"/>
    </x:row>
    <x:row r="415">
      <x:c r="A415" s="12"/>
      <x:c r="B415" s="12"/>
      <x:c r="C415" s="12"/>
      <x:c r="D415" s="12"/>
      <x:c r="E415" s="18"/>
      <x:c r="F415" s="12"/>
      <x:c r="G415" s="12"/>
      <x:c r="H415" s="12"/>
      <x:c r="I415" s="12"/>
    </x:row>
    <x:row r="416">
      <x:c r="A416" s="12"/>
      <x:c r="B416" s="12"/>
      <x:c r="C416" s="12"/>
      <x:c r="D416" s="12"/>
      <x:c r="E416" s="18"/>
      <x:c r="F416" s="12"/>
      <x:c r="G416" s="12"/>
      <x:c r="H416" s="12"/>
      <x:c r="I416" s="12"/>
    </x:row>
    <x:row r="417">
      <x:c r="A417" s="12"/>
      <x:c r="B417" s="12"/>
      <x:c r="C417" s="12"/>
      <x:c r="D417" s="12"/>
      <x:c r="E417" s="18"/>
      <x:c r="F417" s="12"/>
      <x:c r="G417" s="12"/>
      <x:c r="H417" s="12"/>
      <x:c r="I417" s="12"/>
    </x:row>
    <x:row r="418">
      <x:c r="A418" s="12"/>
      <x:c r="B418" s="12"/>
      <x:c r="C418" s="12"/>
      <x:c r="D418" s="12"/>
      <x:c r="E418" s="18"/>
      <x:c r="F418" s="12"/>
      <x:c r="G418" s="12"/>
      <x:c r="H418" s="12"/>
      <x:c r="I418" s="12"/>
    </x:row>
    <x:row r="419">
      <x:c r="A419" s="12"/>
      <x:c r="B419" s="12"/>
      <x:c r="C419" s="12"/>
      <x:c r="D419" s="12"/>
      <x:c r="E419" s="18"/>
      <x:c r="F419" s="12"/>
      <x:c r="G419" s="12"/>
      <x:c r="H419" s="12"/>
      <x:c r="I419" s="12"/>
    </x:row>
    <x:row r="420">
      <x:c r="A420" s="12"/>
      <x:c r="B420" s="12"/>
      <x:c r="C420" s="12"/>
      <x:c r="D420" s="12"/>
      <x:c r="E420" s="18"/>
      <x:c r="F420" s="12"/>
      <x:c r="G420" s="12"/>
      <x:c r="H420" s="12"/>
      <x:c r="I420" s="12"/>
    </x:row>
    <x:row r="421">
      <x:c r="A421" s="12"/>
      <x:c r="B421" s="12"/>
      <x:c r="C421" s="12"/>
      <x:c r="D421" s="12"/>
      <x:c r="E421" s="18"/>
      <x:c r="F421" s="12"/>
      <x:c r="G421" s="12"/>
      <x:c r="H421" s="12"/>
      <x:c r="I421" s="12"/>
    </x:row>
    <x:row r="422">
      <x:c r="A422" s="12"/>
      <x:c r="B422" s="12"/>
      <x:c r="C422" s="12"/>
      <x:c r="D422" s="12"/>
      <x:c r="E422" s="18"/>
      <x:c r="F422" s="12"/>
      <x:c r="G422" s="12"/>
      <x:c r="H422" s="12"/>
      <x:c r="I422" s="12"/>
    </x:row>
    <x:row r="423">
      <x:c r="A423" s="12"/>
      <x:c r="B423" s="12"/>
      <x:c r="C423" s="12"/>
      <x:c r="D423" s="12"/>
      <x:c r="E423" s="18"/>
      <x:c r="F423" s="12"/>
      <x:c r="G423" s="12"/>
      <x:c r="H423" s="12"/>
      <x:c r="I423" s="12"/>
    </x:row>
    <x:row r="424">
      <x:c r="A424" s="12"/>
      <x:c r="B424" s="12"/>
      <x:c r="C424" s="12"/>
      <x:c r="D424" s="12"/>
      <x:c r="E424" s="18"/>
      <x:c r="F424" s="12"/>
      <x:c r="G424" s="12"/>
      <x:c r="H424" s="12"/>
      <x:c r="I424" s="12"/>
    </x:row>
    <x:row r="425">
      <x:c r="A425" s="12"/>
      <x:c r="B425" s="12"/>
      <x:c r="C425" s="12"/>
      <x:c r="D425" s="12"/>
      <x:c r="E425" s="18"/>
      <x:c r="F425" s="12"/>
      <x:c r="G425" s="12"/>
      <x:c r="H425" s="12"/>
      <x:c r="I425" s="12"/>
    </x:row>
    <x:row r="426">
      <x:c r="A426" s="12"/>
      <x:c r="B426" s="12"/>
      <x:c r="C426" s="12"/>
      <x:c r="D426" s="12"/>
      <x:c r="E426" s="18"/>
      <x:c r="F426" s="12"/>
      <x:c r="G426" s="12"/>
      <x:c r="H426" s="12"/>
      <x:c r="I426" s="12"/>
    </x:row>
    <x:row r="427">
      <x:c r="A427" s="12"/>
      <x:c r="B427" s="12"/>
      <x:c r="C427" s="12"/>
      <x:c r="D427" s="12"/>
      <x:c r="E427" s="18"/>
      <x:c r="F427" s="12"/>
      <x:c r="G427" s="12"/>
      <x:c r="H427" s="12"/>
      <x:c r="I427" s="12"/>
    </x:row>
    <x:row r="428">
      <x:c r="A428" s="12"/>
      <x:c r="B428" s="12"/>
      <x:c r="C428" s="12"/>
      <x:c r="D428" s="12"/>
      <x:c r="E428" s="18"/>
      <x:c r="F428" s="12"/>
      <x:c r="G428" s="12"/>
      <x:c r="H428" s="12"/>
      <x:c r="I428" s="12"/>
    </x:row>
    <x:row r="429">
      <x:c r="A429" s="12"/>
      <x:c r="B429" s="12"/>
      <x:c r="C429" s="12"/>
      <x:c r="D429" s="12"/>
      <x:c r="E429" s="18"/>
      <x:c r="F429" s="12"/>
      <x:c r="G429" s="12"/>
      <x:c r="H429" s="12"/>
      <x:c r="I429" s="12"/>
    </x:row>
    <x:row r="430">
      <x:c r="A430" s="12"/>
      <x:c r="B430" s="12"/>
      <x:c r="C430" s="12"/>
      <x:c r="D430" s="12"/>
      <x:c r="E430" s="18"/>
      <x:c r="F430" s="12"/>
      <x:c r="G430" s="12"/>
      <x:c r="H430" s="12"/>
      <x:c r="I430" s="12"/>
    </x:row>
    <x:row r="431">
      <x:c r="A431" s="12"/>
      <x:c r="B431" s="12"/>
      <x:c r="C431" s="12"/>
      <x:c r="D431" s="12"/>
      <x:c r="E431" s="18"/>
      <x:c r="F431" s="12"/>
      <x:c r="G431" s="12"/>
      <x:c r="H431" s="12"/>
      <x:c r="I431" s="12"/>
    </x:row>
    <x:row r="432">
      <x:c r="A432" s="12"/>
      <x:c r="B432" s="12"/>
      <x:c r="C432" s="12"/>
      <x:c r="D432" s="12"/>
      <x:c r="E432" s="18"/>
      <x:c r="F432" s="12"/>
      <x:c r="G432" s="12"/>
      <x:c r="H432" s="12"/>
      <x:c r="I432" s="12"/>
    </x:row>
    <x:row r="433">
      <x:c r="A433" s="12"/>
      <x:c r="B433" s="12"/>
      <x:c r="C433" s="12"/>
      <x:c r="D433" s="12"/>
      <x:c r="E433" s="18"/>
      <x:c r="F433" s="12"/>
      <x:c r="G433" s="12"/>
      <x:c r="H433" s="12"/>
      <x:c r="I433" s="12"/>
    </x:row>
    <x:row r="434">
      <x:c r="A434" s="12"/>
      <x:c r="B434" s="12"/>
      <x:c r="C434" s="12"/>
      <x:c r="D434" s="12"/>
      <x:c r="E434" s="18"/>
      <x:c r="F434" s="12"/>
      <x:c r="G434" s="12"/>
      <x:c r="H434" s="12"/>
      <x:c r="I434" s="12"/>
    </x:row>
    <x:row r="435">
      <x:c r="A435" s="12"/>
      <x:c r="B435" s="12"/>
      <x:c r="C435" s="12"/>
      <x:c r="D435" s="12"/>
      <x:c r="E435" s="18"/>
      <x:c r="F435" s="12"/>
      <x:c r="G435" s="12"/>
      <x:c r="H435" s="12"/>
      <x:c r="I435" s="12"/>
    </x:row>
    <x:row r="436">
      <x:c r="A436" s="12"/>
      <x:c r="B436" s="12"/>
      <x:c r="C436" s="12"/>
      <x:c r="D436" s="12"/>
      <x:c r="E436" s="18"/>
      <x:c r="F436" s="12"/>
      <x:c r="G436" s="12"/>
      <x:c r="H436" s="12"/>
      <x:c r="I436" s="12"/>
    </x:row>
    <x:row r="437">
      <x:c r="A437" s="12"/>
      <x:c r="B437" s="12"/>
      <x:c r="C437" s="12"/>
      <x:c r="D437" s="12"/>
      <x:c r="E437" s="18"/>
      <x:c r="F437" s="12"/>
      <x:c r="G437" s="12"/>
      <x:c r="H437" s="12"/>
      <x:c r="I437" s="12"/>
    </x:row>
    <x:row r="438">
      <x:c r="A438" s="12"/>
      <x:c r="B438" s="12"/>
      <x:c r="C438" s="12"/>
      <x:c r="D438" s="12"/>
      <x:c r="E438" s="18"/>
      <x:c r="F438" s="12"/>
      <x:c r="G438" s="12"/>
      <x:c r="H438" s="12"/>
      <x:c r="I438" s="12"/>
    </x:row>
    <x:row r="439">
      <x:c r="A439" s="12"/>
      <x:c r="B439" s="12"/>
      <x:c r="C439" s="12"/>
      <x:c r="D439" s="12"/>
      <x:c r="E439" s="18"/>
      <x:c r="F439" s="12"/>
      <x:c r="G439" s="12"/>
      <x:c r="H439" s="12"/>
      <x:c r="I439" s="12"/>
    </x:row>
    <x:row r="440">
      <x:c r="A440" s="12"/>
      <x:c r="B440" s="12"/>
      <x:c r="C440" s="12"/>
      <x:c r="D440" s="12"/>
      <x:c r="E440" s="18"/>
      <x:c r="F440" s="12"/>
      <x:c r="G440" s="12"/>
      <x:c r="H440" s="12"/>
      <x:c r="I440" s="12"/>
    </x:row>
    <x:row r="441">
      <x:c r="A441" s="12"/>
      <x:c r="B441" s="12"/>
      <x:c r="C441" s="12"/>
      <x:c r="D441" s="12"/>
      <x:c r="E441" s="18"/>
      <x:c r="F441" s="12"/>
      <x:c r="G441" s="12"/>
      <x:c r="H441" s="12"/>
      <x:c r="I441" s="12"/>
    </x:row>
    <x:row r="442">
      <x:c r="A442" s="12"/>
      <x:c r="B442" s="12"/>
      <x:c r="C442" s="12"/>
      <x:c r="D442" s="12"/>
      <x:c r="E442" s="18"/>
      <x:c r="F442" s="12"/>
      <x:c r="G442" s="12"/>
      <x:c r="H442" s="12"/>
      <x:c r="I442" s="12"/>
    </x:row>
    <x:row r="443">
      <x:c r="A443" s="12"/>
      <x:c r="B443" s="12"/>
      <x:c r="C443" s="12"/>
      <x:c r="D443" s="12"/>
      <x:c r="E443" s="18"/>
      <x:c r="F443" s="12"/>
      <x:c r="G443" s="12"/>
      <x:c r="H443" s="12"/>
      <x:c r="I443" s="12"/>
    </x:row>
    <x:row r="444">
      <x:c r="A444" s="12"/>
      <x:c r="B444" s="12"/>
      <x:c r="C444" s="12"/>
      <x:c r="D444" s="12"/>
      <x:c r="E444" s="18"/>
      <x:c r="F444" s="12"/>
      <x:c r="G444" s="12"/>
      <x:c r="H444" s="12"/>
      <x:c r="I444" s="12"/>
    </x:row>
    <x:row r="445">
      <x:c r="A445" s="12"/>
      <x:c r="B445" s="12"/>
      <x:c r="C445" s="12"/>
      <x:c r="D445" s="12"/>
      <x:c r="E445" s="18"/>
      <x:c r="F445" s="12"/>
      <x:c r="G445" s="12"/>
      <x:c r="H445" s="12"/>
      <x:c r="I445" s="12"/>
    </x:row>
    <x:row r="446">
      <x:c r="A446" s="12"/>
      <x:c r="B446" s="12"/>
      <x:c r="C446" s="12"/>
      <x:c r="D446" s="12"/>
      <x:c r="E446" s="18"/>
      <x:c r="F446" s="12"/>
      <x:c r="G446" s="12"/>
      <x:c r="H446" s="12"/>
      <x:c r="I446" s="12"/>
    </x:row>
    <x:row r="447">
      <x:c r="A447" s="12"/>
      <x:c r="B447" s="12"/>
      <x:c r="C447" s="12"/>
      <x:c r="D447" s="12"/>
      <x:c r="E447" s="18"/>
      <x:c r="F447" s="12"/>
      <x:c r="G447" s="12"/>
      <x:c r="H447" s="12"/>
      <x:c r="I447" s="12"/>
    </x:row>
    <x:row r="448">
      <x:c r="A448" s="12"/>
      <x:c r="B448" s="12"/>
      <x:c r="C448" s="12"/>
      <x:c r="D448" s="12"/>
      <x:c r="E448" s="18"/>
      <x:c r="F448" s="12"/>
      <x:c r="G448" s="12"/>
      <x:c r="H448" s="12"/>
      <x:c r="I448" s="12"/>
    </x:row>
    <x:row r="449">
      <x:c r="A449" s="12"/>
      <x:c r="B449" s="12"/>
      <x:c r="C449" s="12"/>
      <x:c r="D449" s="12"/>
      <x:c r="E449" s="18"/>
      <x:c r="F449" s="12"/>
      <x:c r="G449" s="12"/>
      <x:c r="H449" s="12"/>
      <x:c r="I449" s="12"/>
    </x:row>
    <x:row r="450">
      <x:c r="A450" s="12"/>
      <x:c r="B450" s="12"/>
      <x:c r="C450" s="12"/>
      <x:c r="D450" s="12"/>
      <x:c r="E450" s="18"/>
      <x:c r="F450" s="12"/>
      <x:c r="G450" s="12"/>
      <x:c r="H450" s="12"/>
      <x:c r="I450" s="12"/>
    </x:row>
    <x:row r="451">
      <x:c r="A451" s="12"/>
      <x:c r="B451" s="12"/>
      <x:c r="C451" s="12"/>
      <x:c r="D451" s="12"/>
      <x:c r="E451" s="18"/>
      <x:c r="F451" s="12"/>
      <x:c r="G451" s="12"/>
      <x:c r="H451" s="12"/>
      <x:c r="I451" s="12"/>
    </x:row>
    <x:row r="452">
      <x:c r="A452" s="12"/>
      <x:c r="B452" s="12"/>
      <x:c r="C452" s="12"/>
      <x:c r="D452" s="12"/>
      <x:c r="E452" s="18"/>
      <x:c r="F452" s="12"/>
      <x:c r="G452" s="12"/>
      <x:c r="H452" s="12"/>
      <x:c r="I452" s="12"/>
    </x:row>
    <x:row r="453">
      <x:c r="A453" s="12"/>
      <x:c r="B453" s="12"/>
      <x:c r="C453" s="12"/>
      <x:c r="D453" s="12"/>
      <x:c r="E453" s="18"/>
      <x:c r="F453" s="12"/>
      <x:c r="G453" s="12"/>
      <x:c r="H453" s="12"/>
      <x:c r="I453" s="12"/>
    </x:row>
    <x:row r="454">
      <x:c r="A454" s="12"/>
      <x:c r="B454" s="12"/>
      <x:c r="C454" s="12"/>
      <x:c r="D454" s="12"/>
      <x:c r="E454" s="18"/>
      <x:c r="F454" s="12"/>
      <x:c r="G454" s="12"/>
      <x:c r="H454" s="12"/>
      <x:c r="I454" s="12"/>
    </x:row>
    <x:row r="455">
      <x:c r="A455" s="12"/>
      <x:c r="B455" s="12"/>
      <x:c r="C455" s="12"/>
      <x:c r="D455" s="12"/>
      <x:c r="E455" s="18"/>
      <x:c r="F455" s="12"/>
      <x:c r="G455" s="12"/>
      <x:c r="H455" s="12"/>
      <x:c r="I455" s="12"/>
    </x:row>
    <x:row r="456">
      <x:c r="A456" s="12"/>
      <x:c r="B456" s="12"/>
      <x:c r="C456" s="12"/>
      <x:c r="D456" s="12"/>
      <x:c r="E456" s="18"/>
      <x:c r="F456" s="12"/>
      <x:c r="G456" s="12"/>
      <x:c r="H456" s="12"/>
      <x:c r="I456" s="12"/>
    </x:row>
    <x:row r="457">
      <x:c r="A457" s="12"/>
      <x:c r="B457" s="12"/>
      <x:c r="C457" s="12"/>
      <x:c r="D457" s="12"/>
      <x:c r="E457" s="18"/>
      <x:c r="F457" s="12"/>
      <x:c r="G457" s="12"/>
      <x:c r="H457" s="12"/>
      <x:c r="I457" s="12"/>
    </x:row>
    <x:row r="458">
      <x:c r="A458" s="12"/>
      <x:c r="B458" s="12"/>
      <x:c r="C458" s="12"/>
      <x:c r="D458" s="12"/>
      <x:c r="E458" s="18"/>
      <x:c r="F458" s="12"/>
      <x:c r="G458" s="12"/>
      <x:c r="H458" s="12"/>
      <x:c r="I458" s="12"/>
    </x:row>
    <x:row r="459">
      <x:c r="A459" s="12"/>
      <x:c r="B459" s="12"/>
      <x:c r="C459" s="12"/>
      <x:c r="D459" s="12"/>
      <x:c r="E459" s="18"/>
      <x:c r="F459" s="12"/>
      <x:c r="G459" s="12"/>
      <x:c r="H459" s="12"/>
      <x:c r="I459" s="12"/>
    </x:row>
    <x:row r="460">
      <x:c r="A460" s="12"/>
      <x:c r="B460" s="12"/>
      <x:c r="C460" s="12"/>
      <x:c r="D460" s="12"/>
      <x:c r="E460" s="18"/>
      <x:c r="F460" s="12"/>
      <x:c r="G460" s="12"/>
      <x:c r="H460" s="12"/>
      <x:c r="I460" s="12"/>
    </x:row>
    <x:row r="461">
      <x:c r="A461" s="12"/>
      <x:c r="B461" s="12"/>
      <x:c r="C461" s="12"/>
      <x:c r="D461" s="12"/>
      <x:c r="E461" s="18"/>
      <x:c r="F461" s="12"/>
      <x:c r="G461" s="12"/>
      <x:c r="H461" s="12"/>
      <x:c r="I461" s="12"/>
    </x:row>
    <x:row r="462">
      <x:c r="A462" s="12"/>
      <x:c r="B462" s="12"/>
      <x:c r="C462" s="12"/>
      <x:c r="D462" s="12"/>
      <x:c r="E462" s="18"/>
      <x:c r="F462" s="12"/>
      <x:c r="G462" s="12"/>
      <x:c r="H462" s="12"/>
      <x:c r="I462" s="12"/>
    </x:row>
    <x:row r="463">
      <x:c r="A463" s="12"/>
      <x:c r="B463" s="12"/>
      <x:c r="C463" s="12"/>
      <x:c r="D463" s="12"/>
      <x:c r="E463" s="18"/>
      <x:c r="F463" s="12"/>
      <x:c r="G463" s="12"/>
      <x:c r="H463" s="12"/>
      <x:c r="I463" s="12"/>
    </x:row>
    <x:row r="464">
      <x:c r="A464" s="12"/>
      <x:c r="B464" s="12"/>
      <x:c r="C464" s="12"/>
      <x:c r="D464" s="12"/>
      <x:c r="E464" s="18"/>
      <x:c r="F464" s="12"/>
      <x:c r="G464" s="12"/>
      <x:c r="H464" s="12"/>
      <x:c r="I464" s="12"/>
    </x:row>
    <x:row r="465">
      <x:c r="A465" s="12"/>
      <x:c r="B465" s="12"/>
      <x:c r="C465" s="12"/>
      <x:c r="D465" s="12"/>
      <x:c r="E465" s="18"/>
      <x:c r="F465" s="12"/>
      <x:c r="G465" s="12"/>
      <x:c r="H465" s="12"/>
      <x:c r="I465" s="12"/>
    </x:row>
    <x:row r="466">
      <x:c r="A466" s="12"/>
      <x:c r="B466" s="12"/>
      <x:c r="C466" s="12"/>
      <x:c r="D466" s="12"/>
      <x:c r="E466" s="18"/>
      <x:c r="F466" s="12"/>
      <x:c r="G466" s="12"/>
      <x:c r="H466" s="12"/>
      <x:c r="I466" s="12"/>
    </x:row>
    <x:row r="467">
      <x:c r="A467" s="12"/>
      <x:c r="B467" s="12"/>
      <x:c r="C467" s="12"/>
      <x:c r="D467" s="12"/>
      <x:c r="E467" s="18"/>
      <x:c r="F467" s="12"/>
      <x:c r="G467" s="12"/>
      <x:c r="H467" s="12"/>
      <x:c r="I467" s="12"/>
    </x:row>
    <x:row r="468">
      <x:c r="A468" s="12"/>
      <x:c r="B468" s="12"/>
      <x:c r="C468" s="12"/>
      <x:c r="D468" s="12"/>
      <x:c r="E468" s="18"/>
      <x:c r="F468" s="12"/>
      <x:c r="G468" s="12"/>
      <x:c r="H468" s="12"/>
      <x:c r="I468" s="12"/>
    </x:row>
    <x:row r="469">
      <x:c r="A469" s="12"/>
      <x:c r="B469" s="12"/>
      <x:c r="C469" s="12"/>
      <x:c r="D469" s="12"/>
      <x:c r="E469" s="18"/>
      <x:c r="F469" s="12"/>
      <x:c r="G469" s="12"/>
      <x:c r="H469" s="12"/>
      <x:c r="I469" s="12"/>
    </x:row>
    <x:row r="470">
      <x:c r="A470" s="12"/>
      <x:c r="B470" s="12"/>
      <x:c r="C470" s="12"/>
      <x:c r="D470" s="12"/>
      <x:c r="E470" s="18"/>
      <x:c r="F470" s="12"/>
      <x:c r="G470" s="12"/>
      <x:c r="H470" s="12"/>
      <x:c r="I470" s="12"/>
    </x:row>
    <x:row r="471">
      <x:c r="A471" s="12"/>
      <x:c r="B471" s="12"/>
      <x:c r="C471" s="12"/>
      <x:c r="D471" s="12"/>
      <x:c r="E471" s="18"/>
      <x:c r="F471" s="12"/>
      <x:c r="G471" s="12"/>
      <x:c r="H471" s="12"/>
      <x:c r="I471" s="12"/>
    </x:row>
    <x:row r="472">
      <x:c r="A472" s="12"/>
      <x:c r="B472" s="12"/>
      <x:c r="C472" s="12"/>
      <x:c r="D472" s="12"/>
      <x:c r="E472" s="18"/>
      <x:c r="F472" s="12"/>
      <x:c r="G472" s="12"/>
      <x:c r="H472" s="12"/>
      <x:c r="I472" s="12"/>
    </x:row>
    <x:row r="473">
      <x:c r="A473" s="12"/>
      <x:c r="B473" s="12"/>
      <x:c r="C473" s="12"/>
      <x:c r="D473" s="12"/>
      <x:c r="E473" s="18"/>
      <x:c r="F473" s="12"/>
      <x:c r="G473" s="12"/>
      <x:c r="H473" s="12"/>
      <x:c r="I473" s="12"/>
    </x:row>
    <x:row r="474">
      <x:c r="A474" s="12"/>
      <x:c r="B474" s="12"/>
      <x:c r="C474" s="12"/>
      <x:c r="D474" s="12"/>
      <x:c r="E474" s="18"/>
      <x:c r="F474" s="12"/>
      <x:c r="G474" s="12"/>
      <x:c r="H474" s="12"/>
      <x:c r="I474" s="12"/>
    </x:row>
    <x:row r="475">
      <x:c r="A475" s="12"/>
      <x:c r="B475" s="12"/>
      <x:c r="C475" s="12"/>
      <x:c r="D475" s="12"/>
      <x:c r="E475" s="18"/>
      <x:c r="F475" s="12"/>
      <x:c r="G475" s="12"/>
      <x:c r="H475" s="12"/>
      <x:c r="I475" s="12"/>
    </x:row>
    <x:row r="476">
      <x:c r="A476" s="12"/>
      <x:c r="B476" s="12"/>
      <x:c r="C476" s="12"/>
      <x:c r="D476" s="12"/>
      <x:c r="E476" s="18"/>
      <x:c r="F476" s="12"/>
      <x:c r="G476" s="12"/>
      <x:c r="H476" s="12"/>
      <x:c r="I476" s="12"/>
    </x:row>
    <x:row r="477">
      <x:c r="A477" s="12"/>
      <x:c r="B477" s="12"/>
      <x:c r="C477" s="12"/>
      <x:c r="D477" s="12"/>
      <x:c r="E477" s="18"/>
      <x:c r="F477" s="12"/>
      <x:c r="G477" s="12"/>
      <x:c r="H477" s="12"/>
      <x:c r="I477" s="12"/>
    </x:row>
    <x:row r="478">
      <x:c r="A478" s="12"/>
      <x:c r="B478" s="12"/>
      <x:c r="C478" s="12"/>
      <x:c r="D478" s="12"/>
      <x:c r="E478" s="18"/>
      <x:c r="F478" s="12"/>
      <x:c r="G478" s="12"/>
      <x:c r="H478" s="12"/>
      <x:c r="I478" s="12"/>
    </x:row>
    <x:row r="479">
      <x:c r="A479" s="12"/>
      <x:c r="B479" s="12"/>
      <x:c r="C479" s="12"/>
      <x:c r="D479" s="12"/>
      <x:c r="E479" s="18"/>
      <x:c r="F479" s="12"/>
      <x:c r="G479" s="12"/>
      <x:c r="H479" s="12"/>
      <x:c r="I479" s="12"/>
    </x:row>
    <x:row r="480">
      <x:c r="A480" s="12"/>
      <x:c r="B480" s="12"/>
      <x:c r="C480" s="12"/>
      <x:c r="D480" s="12"/>
      <x:c r="E480" s="18"/>
      <x:c r="F480" s="12"/>
      <x:c r="G480" s="12"/>
      <x:c r="H480" s="12"/>
      <x:c r="I480" s="12"/>
    </x:row>
    <x:row r="481">
      <x:c r="A481" s="12"/>
      <x:c r="B481" s="12"/>
      <x:c r="C481" s="12"/>
      <x:c r="D481" s="12"/>
      <x:c r="E481" s="18"/>
      <x:c r="F481" s="12"/>
      <x:c r="G481" s="12"/>
      <x:c r="H481" s="12"/>
      <x:c r="I481" s="12"/>
    </x:row>
    <x:row r="482">
      <x:c r="A482" s="12"/>
      <x:c r="B482" s="12"/>
      <x:c r="C482" s="12"/>
      <x:c r="D482" s="12"/>
      <x:c r="E482" s="18"/>
      <x:c r="F482" s="12"/>
      <x:c r="G482" s="12"/>
      <x:c r="H482" s="12"/>
      <x:c r="I482" s="12"/>
    </x:row>
    <x:row r="483">
      <x:c r="A483" s="12"/>
      <x:c r="B483" s="12"/>
      <x:c r="C483" s="12"/>
      <x:c r="D483" s="12"/>
      <x:c r="E483" s="18"/>
      <x:c r="F483" s="12"/>
      <x:c r="G483" s="12"/>
      <x:c r="H483" s="12"/>
      <x:c r="I483" s="12"/>
    </x:row>
    <x:row r="484">
      <x:c r="A484" s="12"/>
      <x:c r="B484" s="12"/>
      <x:c r="C484" s="12"/>
      <x:c r="D484" s="12"/>
      <x:c r="E484" s="18"/>
      <x:c r="F484" s="12"/>
      <x:c r="G484" s="12"/>
      <x:c r="H484" s="12"/>
      <x:c r="I484" s="12"/>
    </x:row>
    <x:row r="485">
      <x:c r="A485" s="12"/>
      <x:c r="B485" s="12"/>
      <x:c r="C485" s="12"/>
      <x:c r="D485" s="12"/>
      <x:c r="E485" s="18"/>
      <x:c r="F485" s="12"/>
      <x:c r="G485" s="12"/>
      <x:c r="H485" s="12"/>
      <x:c r="I485" s="12"/>
    </x:row>
    <x:row r="486">
      <x:c r="A486" s="12"/>
      <x:c r="B486" s="12"/>
      <x:c r="C486" s="12"/>
      <x:c r="D486" s="12"/>
      <x:c r="E486" s="18"/>
      <x:c r="F486" s="12"/>
      <x:c r="G486" s="12"/>
      <x:c r="H486" s="12"/>
      <x:c r="I486" s="12"/>
    </x:row>
    <x:row r="487">
      <x:c r="A487" s="12"/>
      <x:c r="B487" s="12"/>
      <x:c r="C487" s="12"/>
      <x:c r="D487" s="12"/>
      <x:c r="E487" s="18"/>
      <x:c r="F487" s="12"/>
      <x:c r="G487" s="12"/>
      <x:c r="H487" s="12"/>
      <x:c r="I487" s="12"/>
    </x:row>
    <x:row r="488">
      <x:c r="A488" s="12"/>
      <x:c r="B488" s="12"/>
      <x:c r="C488" s="12"/>
      <x:c r="D488" s="12"/>
      <x:c r="E488" s="18"/>
      <x:c r="F488" s="12"/>
      <x:c r="G488" s="12"/>
      <x:c r="H488" s="12"/>
      <x:c r="I488" s="12"/>
    </x:row>
    <x:row r="489">
      <x:c r="A489" s="12"/>
      <x:c r="B489" s="12"/>
      <x:c r="C489" s="12"/>
      <x:c r="D489" s="12"/>
      <x:c r="E489" s="18"/>
      <x:c r="F489" s="12"/>
      <x:c r="G489" s="12"/>
      <x:c r="H489" s="12"/>
      <x:c r="I489" s="12"/>
    </x:row>
    <x:row r="490">
      <x:c r="A490" s="12"/>
      <x:c r="B490" s="12"/>
      <x:c r="C490" s="12"/>
      <x:c r="D490" s="12"/>
      <x:c r="E490" s="18"/>
      <x:c r="F490" s="12"/>
      <x:c r="G490" s="12"/>
      <x:c r="H490" s="12"/>
      <x:c r="I490" s="12"/>
    </x:row>
    <x:row r="491">
      <x:c r="A491" s="12"/>
      <x:c r="B491" s="12"/>
      <x:c r="C491" s="12"/>
      <x:c r="D491" s="12"/>
      <x:c r="E491" s="18"/>
      <x:c r="F491" s="12"/>
      <x:c r="G491" s="12"/>
      <x:c r="H491" s="12"/>
      <x:c r="I491" s="12"/>
    </x:row>
    <x:row r="492">
      <x:c r="A492" s="12"/>
      <x:c r="B492" s="12"/>
      <x:c r="C492" s="12"/>
      <x:c r="D492" s="12"/>
      <x:c r="E492" s="18"/>
      <x:c r="F492" s="12"/>
      <x:c r="G492" s="12"/>
      <x:c r="H492" s="12"/>
      <x:c r="I492" s="12"/>
    </x:row>
    <x:row r="493">
      <x:c r="A493" s="12"/>
      <x:c r="B493" s="12"/>
      <x:c r="C493" s="12"/>
      <x:c r="D493" s="12"/>
      <x:c r="E493" s="18"/>
      <x:c r="F493" s="12"/>
      <x:c r="G493" s="12"/>
      <x:c r="H493" s="12"/>
      <x:c r="I493" s="12"/>
    </x:row>
    <x:row r="494">
      <x:c r="A494" s="12"/>
      <x:c r="B494" s="12"/>
      <x:c r="C494" s="12"/>
      <x:c r="D494" s="12"/>
      <x:c r="E494" s="18"/>
      <x:c r="F494" s="12"/>
      <x:c r="G494" s="12"/>
      <x:c r="H494" s="12"/>
      <x:c r="I494" s="12"/>
    </x:row>
    <x:row r="495">
      <x:c r="A495" s="12"/>
      <x:c r="B495" s="12"/>
      <x:c r="C495" s="12"/>
      <x:c r="D495" s="12"/>
      <x:c r="E495" s="18"/>
      <x:c r="F495" s="12"/>
      <x:c r="G495" s="12"/>
      <x:c r="H495" s="12"/>
      <x:c r="I495" s="12"/>
    </x:row>
    <x:row r="496">
      <x:c r="A496" s="12"/>
      <x:c r="B496" s="12"/>
      <x:c r="C496" s="12"/>
      <x:c r="D496" s="12"/>
      <x:c r="E496" s="18"/>
      <x:c r="F496" s="12"/>
      <x:c r="G496" s="12"/>
      <x:c r="H496" s="12"/>
      <x:c r="I496" s="12"/>
    </x:row>
    <x:row r="497">
      <x:c r="A497" s="12"/>
      <x:c r="B497" s="12"/>
      <x:c r="C497" s="12"/>
      <x:c r="D497" s="12"/>
      <x:c r="E497" s="18"/>
      <x:c r="F497" s="12"/>
      <x:c r="G497" s="12"/>
      <x:c r="H497" s="12"/>
      <x:c r="I497" s="12"/>
    </x:row>
    <x:row r="498">
      <x:c r="A498" s="12"/>
      <x:c r="B498" s="12"/>
      <x:c r="C498" s="12"/>
      <x:c r="D498" s="12"/>
      <x:c r="E498" s="18"/>
      <x:c r="F498" s="12"/>
      <x:c r="G498" s="12"/>
      <x:c r="H498" s="12"/>
      <x:c r="I498" s="12"/>
    </x:row>
    <x:row r="499">
      <x:c r="A499" s="12"/>
      <x:c r="B499" s="12"/>
      <x:c r="C499" s="12"/>
      <x:c r="D499" s="12"/>
      <x:c r="E499" s="18"/>
      <x:c r="F499" s="12"/>
      <x:c r="G499" s="12"/>
      <x:c r="H499" s="12"/>
      <x:c r="I499" s="12"/>
    </x:row>
    <x:row r="500">
      <x:c r="A500" s="12"/>
      <x:c r="B500" s="12"/>
      <x:c r="C500" s="12"/>
      <x:c r="D500" s="12"/>
      <x:c r="E500" s="18"/>
      <x:c r="F500" s="12"/>
      <x:c r="G500" s="12"/>
      <x:c r="H500" s="12"/>
      <x:c r="I500" s="12"/>
    </x:row>
    <x:row r="501">
      <x:c r="A501" s="12"/>
      <x:c r="B501" s="12"/>
      <x:c r="C501" s="12"/>
      <x:c r="D501" s="12"/>
      <x:c r="E501" s="18"/>
      <x:c r="F501" s="12"/>
      <x:c r="G501" s="12"/>
      <x:c r="H501" s="12"/>
      <x:c r="I501" s="12"/>
    </x:row>
    <x:row r="502">
      <x:c r="A502" s="12"/>
      <x:c r="B502" s="12"/>
      <x:c r="C502" s="12"/>
      <x:c r="D502" s="12"/>
      <x:c r="E502" s="18"/>
      <x:c r="F502" s="12"/>
      <x:c r="G502" s="12"/>
      <x:c r="H502" s="12"/>
      <x:c r="I502" s="12"/>
    </x:row>
    <x:row r="503">
      <x:c r="A503" s="12"/>
      <x:c r="B503" s="12"/>
      <x:c r="C503" s="12"/>
      <x:c r="D503" s="12"/>
      <x:c r="E503" s="18"/>
      <x:c r="F503" s="12"/>
      <x:c r="G503" s="12"/>
      <x:c r="H503" s="12"/>
      <x:c r="I503" s="12"/>
    </x:row>
    <x:row r="504">
      <x:c r="A504" s="12"/>
      <x:c r="B504" s="12"/>
      <x:c r="C504" s="12"/>
      <x:c r="D504" s="12"/>
      <x:c r="E504" s="18"/>
      <x:c r="F504" s="12"/>
      <x:c r="G504" s="12"/>
      <x:c r="H504" s="12"/>
      <x:c r="I504" s="12"/>
    </x:row>
    <x:row r="505">
      <x:c r="A505" s="12"/>
      <x:c r="B505" s="12"/>
      <x:c r="C505" s="12"/>
      <x:c r="D505" s="12"/>
      <x:c r="E505" s="18"/>
      <x:c r="F505" s="12"/>
      <x:c r="G505" s="12"/>
      <x:c r="H505" s="12"/>
      <x:c r="I505" s="12"/>
    </x:row>
    <x:row r="506">
      <x:c r="A506" s="12"/>
      <x:c r="B506" s="12"/>
      <x:c r="C506" s="12"/>
      <x:c r="D506" s="12"/>
      <x:c r="E506" s="18"/>
      <x:c r="F506" s="12"/>
      <x:c r="G506" s="12"/>
      <x:c r="H506" s="12"/>
      <x:c r="I506" s="12"/>
    </x:row>
    <x:row r="507">
      <x:c r="A507" s="12"/>
      <x:c r="B507" s="12"/>
      <x:c r="C507" s="12"/>
      <x:c r="D507" s="12"/>
      <x:c r="E507" s="18"/>
      <x:c r="F507" s="12"/>
      <x:c r="G507" s="12"/>
      <x:c r="H507" s="12"/>
      <x:c r="I507" s="12"/>
    </x:row>
    <x:row r="508">
      <x:c r="A508" s="12"/>
      <x:c r="B508" s="12"/>
      <x:c r="C508" s="12"/>
      <x:c r="D508" s="12"/>
      <x:c r="E508" s="18"/>
      <x:c r="F508" s="12"/>
      <x:c r="G508" s="12"/>
      <x:c r="H508" s="12"/>
      <x:c r="I508" s="12"/>
    </x:row>
    <x:row r="509">
      <x:c r="A509" s="12"/>
      <x:c r="B509" s="12"/>
      <x:c r="C509" s="12"/>
      <x:c r="D509" s="12"/>
      <x:c r="E509" s="18"/>
      <x:c r="F509" s="12"/>
      <x:c r="G509" s="12"/>
      <x:c r="H509" s="12"/>
      <x:c r="I509" s="12"/>
    </x:row>
    <x:row r="510">
      <x:c r="A510" s="12"/>
      <x:c r="B510" s="12"/>
      <x:c r="C510" s="12"/>
      <x:c r="D510" s="12"/>
      <x:c r="E510" s="18"/>
      <x:c r="F510" s="12"/>
      <x:c r="G510" s="12"/>
      <x:c r="H510" s="12"/>
      <x:c r="I510" s="12"/>
    </x:row>
    <x:row r="511">
      <x:c r="A511" s="12"/>
      <x:c r="B511" s="12"/>
      <x:c r="C511" s="12"/>
      <x:c r="D511" s="12"/>
      <x:c r="E511" s="18"/>
      <x:c r="F511" s="12"/>
      <x:c r="G511" s="12"/>
      <x:c r="H511" s="12"/>
      <x:c r="I511" s="12"/>
    </x:row>
    <x:row r="512">
      <x:c r="A512" s="12"/>
      <x:c r="B512" s="12"/>
      <x:c r="C512" s="12"/>
      <x:c r="D512" s="12"/>
      <x:c r="E512" s="18"/>
      <x:c r="F512" s="12"/>
      <x:c r="G512" s="12"/>
      <x:c r="H512" s="12"/>
      <x:c r="I512" s="12"/>
    </x:row>
    <x:row r="513">
      <x:c r="A513" s="12"/>
      <x:c r="B513" s="12"/>
      <x:c r="C513" s="12"/>
      <x:c r="D513" s="12"/>
      <x:c r="E513" s="18"/>
      <x:c r="F513" s="12"/>
      <x:c r="G513" s="12"/>
      <x:c r="H513" s="12"/>
      <x:c r="I513" s="12"/>
    </x:row>
    <x:row r="514">
      <x:c r="A514" s="12"/>
      <x:c r="B514" s="12"/>
      <x:c r="C514" s="12"/>
      <x:c r="D514" s="12"/>
      <x:c r="E514" s="18"/>
      <x:c r="F514" s="12"/>
      <x:c r="G514" s="12"/>
      <x:c r="H514" s="12"/>
      <x:c r="I514" s="12"/>
    </x:row>
    <x:row r="515">
      <x:c r="A515" s="12"/>
      <x:c r="B515" s="12"/>
      <x:c r="C515" s="12"/>
      <x:c r="D515" s="12"/>
      <x:c r="E515" s="18"/>
      <x:c r="F515" s="12"/>
      <x:c r="G515" s="12"/>
      <x:c r="H515" s="12"/>
      <x:c r="I515" s="12"/>
    </x:row>
    <x:row r="516">
      <x:c r="A516" s="12"/>
      <x:c r="B516" s="12"/>
      <x:c r="C516" s="12"/>
      <x:c r="D516" s="12"/>
      <x:c r="E516" s="18"/>
      <x:c r="F516" s="12"/>
      <x:c r="G516" s="12"/>
      <x:c r="H516" s="12"/>
      <x:c r="I516" s="12"/>
    </x:row>
    <x:row r="517">
      <x:c r="A517" s="12"/>
      <x:c r="B517" s="12"/>
      <x:c r="C517" s="12"/>
      <x:c r="D517" s="12"/>
      <x:c r="E517" s="18"/>
      <x:c r="F517" s="12"/>
      <x:c r="G517" s="12"/>
      <x:c r="H517" s="12"/>
      <x:c r="I517" s="12"/>
    </x:row>
    <x:row r="518">
      <x:c r="A518" s="12"/>
      <x:c r="B518" s="12"/>
      <x:c r="C518" s="12"/>
      <x:c r="D518" s="12"/>
      <x:c r="E518" s="18"/>
      <x:c r="F518" s="12"/>
      <x:c r="G518" s="12"/>
      <x:c r="H518" s="12"/>
      <x:c r="I518" s="12"/>
    </x:row>
    <x:row r="519">
      <x:c r="A519" s="12"/>
      <x:c r="B519" s="12"/>
      <x:c r="C519" s="12"/>
      <x:c r="D519" s="12"/>
      <x:c r="E519" s="18"/>
      <x:c r="F519" s="12"/>
      <x:c r="G519" s="12"/>
      <x:c r="H519" s="12"/>
      <x:c r="I519" s="12"/>
    </x:row>
    <x:row r="520">
      <x:c r="A520" s="12"/>
      <x:c r="B520" s="12"/>
      <x:c r="C520" s="12"/>
      <x:c r="D520" s="12"/>
      <x:c r="E520" s="18"/>
      <x:c r="F520" s="12"/>
      <x:c r="G520" s="12"/>
      <x:c r="H520" s="12"/>
      <x:c r="I520" s="12"/>
    </x:row>
    <x:row r="521">
      <x:c r="A521" s="12"/>
      <x:c r="B521" s="12"/>
      <x:c r="C521" s="12"/>
      <x:c r="D521" s="12"/>
      <x:c r="E521" s="18"/>
      <x:c r="F521" s="12"/>
      <x:c r="G521" s="12"/>
      <x:c r="H521" s="12"/>
      <x:c r="I521" s="12"/>
    </x:row>
    <x:row r="522">
      <x:c r="A522" s="12"/>
      <x:c r="B522" s="12"/>
      <x:c r="C522" s="12"/>
      <x:c r="D522" s="12"/>
      <x:c r="E522" s="18"/>
      <x:c r="F522" s="12"/>
      <x:c r="G522" s="12"/>
      <x:c r="H522" s="12"/>
      <x:c r="I522" s="12"/>
    </x:row>
    <x:row r="523">
      <x:c r="A523" s="12"/>
      <x:c r="B523" s="12"/>
      <x:c r="C523" s="12"/>
      <x:c r="D523" s="12"/>
      <x:c r="E523" s="18"/>
      <x:c r="F523" s="12"/>
      <x:c r="G523" s="12"/>
      <x:c r="H523" s="12"/>
      <x:c r="I523" s="12"/>
    </x:row>
    <x:row r="524">
      <x:c r="A524" s="12"/>
      <x:c r="B524" s="12"/>
      <x:c r="C524" s="12"/>
      <x:c r="D524" s="12"/>
      <x:c r="E524" s="18"/>
      <x:c r="F524" s="12"/>
      <x:c r="G524" s="12"/>
      <x:c r="H524" s="12"/>
      <x:c r="I524" s="12"/>
    </x:row>
    <x:row r="525">
      <x:c r="A525" s="12"/>
      <x:c r="B525" s="12"/>
      <x:c r="C525" s="12"/>
      <x:c r="D525" s="12"/>
      <x:c r="E525" s="18"/>
      <x:c r="F525" s="12"/>
      <x:c r="G525" s="12"/>
      <x:c r="H525" s="12"/>
      <x:c r="I525" s="12"/>
    </x:row>
    <x:row r="526">
      <x:c r="A526" s="12"/>
      <x:c r="B526" s="12"/>
      <x:c r="C526" s="12"/>
      <x:c r="D526" s="12"/>
      <x:c r="E526" s="18"/>
      <x:c r="F526" s="12"/>
      <x:c r="G526" s="12"/>
      <x:c r="H526" s="12"/>
      <x:c r="I526" s="12"/>
    </x:row>
    <x:row r="527">
      <x:c r="A527" s="12"/>
      <x:c r="B527" s="12"/>
      <x:c r="C527" s="12"/>
      <x:c r="D527" s="12"/>
      <x:c r="E527" s="18"/>
      <x:c r="F527" s="12"/>
      <x:c r="G527" s="12"/>
      <x:c r="H527" s="12"/>
      <x:c r="I527" s="12"/>
    </x:row>
    <x:row r="528">
      <x:c r="A528" s="12"/>
      <x:c r="B528" s="12"/>
      <x:c r="C528" s="12"/>
      <x:c r="D528" s="12"/>
      <x:c r="E528" s="18"/>
      <x:c r="F528" s="12"/>
      <x:c r="G528" s="12"/>
      <x:c r="H528" s="12"/>
      <x:c r="I528" s="12"/>
    </x:row>
    <x:row r="529">
      <x:c r="A529" s="12"/>
      <x:c r="B529" s="12"/>
      <x:c r="C529" s="12"/>
      <x:c r="D529" s="12"/>
      <x:c r="E529" s="18"/>
      <x:c r="F529" s="12"/>
      <x:c r="G529" s="12"/>
      <x:c r="H529" s="12"/>
      <x:c r="I529" s="12"/>
    </x:row>
    <x:row r="530">
      <x:c r="A530" s="12"/>
      <x:c r="B530" s="12"/>
      <x:c r="C530" s="12"/>
      <x:c r="D530" s="12"/>
      <x:c r="E530" s="18"/>
      <x:c r="F530" s="12"/>
      <x:c r="G530" s="12"/>
      <x:c r="H530" s="12"/>
      <x:c r="I530" s="12"/>
    </x:row>
    <x:row r="531">
      <x:c r="A531" s="12"/>
      <x:c r="B531" s="12"/>
      <x:c r="C531" s="12"/>
      <x:c r="D531" s="12"/>
      <x:c r="E531" s="18"/>
      <x:c r="F531" s="12"/>
      <x:c r="G531" s="12"/>
      <x:c r="H531" s="12"/>
      <x:c r="I531" s="12"/>
    </x:row>
    <x:row r="532">
      <x:c r="A532" s="12"/>
      <x:c r="B532" s="12"/>
      <x:c r="C532" s="12"/>
      <x:c r="D532" s="12"/>
      <x:c r="E532" s="18"/>
      <x:c r="F532" s="12"/>
      <x:c r="G532" s="12"/>
      <x:c r="H532" s="12"/>
      <x:c r="I532" s="12"/>
    </x:row>
    <x:row r="533">
      <x:c r="A533" s="12"/>
      <x:c r="B533" s="12"/>
      <x:c r="C533" s="12"/>
      <x:c r="D533" s="12"/>
      <x:c r="E533" s="18"/>
      <x:c r="F533" s="12"/>
      <x:c r="G533" s="12"/>
      <x:c r="H533" s="12"/>
      <x:c r="I533" s="12"/>
    </x:row>
    <x:row r="534">
      <x:c r="A534" s="12"/>
      <x:c r="B534" s="12"/>
      <x:c r="C534" s="12"/>
      <x:c r="D534" s="12"/>
      <x:c r="E534" s="18"/>
      <x:c r="F534" s="12"/>
      <x:c r="G534" s="12"/>
      <x:c r="H534" s="12"/>
      <x:c r="I534" s="12"/>
    </x:row>
    <x:row r="535">
      <x:c r="A535" s="12"/>
      <x:c r="B535" s="12"/>
      <x:c r="C535" s="12"/>
      <x:c r="D535" s="12"/>
      <x:c r="E535" s="18"/>
      <x:c r="F535" s="12"/>
      <x:c r="G535" s="12"/>
      <x:c r="H535" s="12"/>
      <x:c r="I535" s="12"/>
    </x:row>
    <x:row r="536">
      <x:c r="A536" s="12"/>
      <x:c r="B536" s="12"/>
      <x:c r="C536" s="12"/>
      <x:c r="D536" s="12"/>
      <x:c r="E536" s="18"/>
      <x:c r="F536" s="12"/>
      <x:c r="G536" s="12"/>
      <x:c r="H536" s="12"/>
      <x:c r="I536" s="12"/>
    </x:row>
    <x:row r="537">
      <x:c r="A537" s="12"/>
      <x:c r="B537" s="12"/>
      <x:c r="C537" s="12"/>
      <x:c r="D537" s="12"/>
      <x:c r="E537" s="18"/>
      <x:c r="F537" s="12"/>
      <x:c r="G537" s="12"/>
      <x:c r="H537" s="12"/>
      <x:c r="I537" s="12"/>
    </x:row>
    <x:row r="538">
      <x:c r="A538" s="12"/>
      <x:c r="B538" s="12"/>
      <x:c r="C538" s="12"/>
      <x:c r="D538" s="12"/>
      <x:c r="E538" s="18"/>
      <x:c r="F538" s="12"/>
      <x:c r="G538" s="12"/>
      <x:c r="H538" s="12"/>
      <x:c r="I538" s="12"/>
    </x:row>
    <x:row r="539">
      <x:c r="A539" s="12"/>
      <x:c r="B539" s="12"/>
      <x:c r="C539" s="12"/>
      <x:c r="D539" s="12"/>
      <x:c r="E539" s="18"/>
      <x:c r="F539" s="12"/>
      <x:c r="G539" s="12"/>
      <x:c r="H539" s="12"/>
      <x:c r="I539" s="12"/>
    </x:row>
    <x:row r="540">
      <x:c r="A540" s="12"/>
      <x:c r="B540" s="12"/>
      <x:c r="C540" s="12"/>
      <x:c r="D540" s="12"/>
      <x:c r="E540" s="18"/>
      <x:c r="F540" s="12"/>
      <x:c r="G540" s="12"/>
      <x:c r="H540" s="12"/>
      <x:c r="I540" s="12"/>
    </x:row>
    <x:row r="541">
      <x:c r="A541" s="12"/>
      <x:c r="B541" s="12"/>
      <x:c r="C541" s="12"/>
      <x:c r="D541" s="12"/>
      <x:c r="E541" s="18"/>
      <x:c r="F541" s="12"/>
      <x:c r="G541" s="12"/>
      <x:c r="H541" s="12"/>
      <x:c r="I541" s="12"/>
    </x:row>
    <x:row r="542">
      <x:c r="A542" s="12"/>
      <x:c r="B542" s="12"/>
      <x:c r="C542" s="12"/>
      <x:c r="D542" s="12"/>
      <x:c r="E542" s="18"/>
      <x:c r="F542" s="12"/>
      <x:c r="G542" s="12"/>
      <x:c r="H542" s="12"/>
      <x:c r="I542" s="12"/>
    </x:row>
    <x:row r="543">
      <x:c r="A543" s="12"/>
      <x:c r="B543" s="12"/>
      <x:c r="C543" s="12"/>
      <x:c r="D543" s="12"/>
      <x:c r="E543" s="18"/>
      <x:c r="F543" s="12"/>
      <x:c r="G543" s="12"/>
      <x:c r="H543" s="12"/>
      <x:c r="I543" s="12"/>
    </x:row>
    <x:row r="544">
      <x:c r="A544" s="12"/>
      <x:c r="B544" s="12"/>
      <x:c r="C544" s="12"/>
      <x:c r="D544" s="12"/>
      <x:c r="E544" s="18"/>
      <x:c r="F544" s="12"/>
      <x:c r="G544" s="12"/>
      <x:c r="H544" s="12"/>
      <x:c r="I544" s="12"/>
    </x:row>
    <x:row r="545">
      <x:c r="A545" s="12"/>
      <x:c r="B545" s="12"/>
      <x:c r="C545" s="12"/>
      <x:c r="D545" s="12"/>
      <x:c r="E545" s="18"/>
      <x:c r="F545" s="12"/>
      <x:c r="G545" s="12"/>
      <x:c r="H545" s="12"/>
      <x:c r="I545" s="12"/>
    </x:row>
    <x:row r="546">
      <x:c r="A546" s="12"/>
      <x:c r="B546" s="12"/>
      <x:c r="C546" s="12"/>
      <x:c r="D546" s="12"/>
      <x:c r="E546" s="18"/>
      <x:c r="F546" s="12"/>
      <x:c r="G546" s="12"/>
      <x:c r="H546" s="12"/>
      <x:c r="I546" s="12"/>
    </x:row>
    <x:row r="547">
      <x:c r="A547" s="12"/>
      <x:c r="B547" s="12"/>
      <x:c r="C547" s="12"/>
      <x:c r="D547" s="12"/>
      <x:c r="E547" s="18"/>
      <x:c r="F547" s="12"/>
      <x:c r="G547" s="12"/>
      <x:c r="H547" s="12"/>
      <x:c r="I547" s="12"/>
    </x:row>
    <x:row r="548">
      <x:c r="A548" s="12"/>
      <x:c r="B548" s="12"/>
      <x:c r="C548" s="12"/>
      <x:c r="D548" s="12"/>
      <x:c r="E548" s="18"/>
      <x:c r="F548" s="12"/>
      <x:c r="G548" s="12"/>
      <x:c r="H548" s="12"/>
      <x:c r="I548" s="12"/>
    </x:row>
    <x:row r="549">
      <x:c r="A549" s="12"/>
      <x:c r="B549" s="12"/>
      <x:c r="C549" s="12"/>
      <x:c r="D549" s="12"/>
      <x:c r="E549" s="18"/>
      <x:c r="F549" s="12"/>
      <x:c r="G549" s="12"/>
      <x:c r="H549" s="12"/>
      <x:c r="I549" s="12"/>
    </x:row>
    <x:row r="550">
      <x:c r="A550" s="12"/>
      <x:c r="B550" s="12"/>
      <x:c r="C550" s="12"/>
      <x:c r="D550" s="12"/>
      <x:c r="E550" s="18"/>
      <x:c r="F550" s="12"/>
      <x:c r="G550" s="12"/>
      <x:c r="H550" s="12"/>
      <x:c r="I550" s="12"/>
    </x:row>
    <x:row r="551">
      <x:c r="A551" s="12"/>
      <x:c r="B551" s="12"/>
      <x:c r="C551" s="12"/>
      <x:c r="D551" s="12"/>
      <x:c r="E551" s="18"/>
      <x:c r="F551" s="12"/>
      <x:c r="G551" s="12"/>
      <x:c r="H551" s="12"/>
      <x:c r="I551" s="12"/>
    </x:row>
    <x:row r="552">
      <x:c r="A552" s="12"/>
      <x:c r="B552" s="12"/>
      <x:c r="C552" s="12"/>
      <x:c r="D552" s="12"/>
      <x:c r="E552" s="18"/>
      <x:c r="F552" s="12"/>
      <x:c r="G552" s="12"/>
      <x:c r="H552" s="12"/>
      <x:c r="I552" s="12"/>
    </x:row>
    <x:row r="553">
      <x:c r="A553" s="12"/>
      <x:c r="B553" s="12"/>
      <x:c r="C553" s="12"/>
      <x:c r="D553" s="12"/>
      <x:c r="E553" s="18"/>
      <x:c r="F553" s="12"/>
      <x:c r="G553" s="12"/>
      <x:c r="H553" s="12"/>
      <x:c r="I553" s="12"/>
    </x:row>
    <x:row r="554">
      <x:c r="A554" s="12"/>
      <x:c r="B554" s="12"/>
      <x:c r="C554" s="12"/>
      <x:c r="D554" s="12"/>
      <x:c r="E554" s="18"/>
      <x:c r="F554" s="12"/>
      <x:c r="G554" s="12"/>
      <x:c r="H554" s="12"/>
      <x:c r="I554" s="12"/>
    </x:row>
    <x:row r="555">
      <x:c r="A555" s="12"/>
      <x:c r="B555" s="12"/>
      <x:c r="C555" s="12"/>
      <x:c r="D555" s="12"/>
      <x:c r="E555" s="18"/>
      <x:c r="F555" s="12"/>
      <x:c r="G555" s="12"/>
      <x:c r="H555" s="12"/>
      <x:c r="I555" s="12"/>
    </x:row>
    <x:row r="556">
      <x:c r="A556" s="12"/>
      <x:c r="B556" s="12"/>
      <x:c r="C556" s="12"/>
      <x:c r="D556" s="12"/>
      <x:c r="E556" s="18"/>
      <x:c r="F556" s="12"/>
      <x:c r="G556" s="12"/>
      <x:c r="H556" s="12"/>
      <x:c r="I556" s="12"/>
    </x:row>
    <x:row r="557">
      <x:c r="A557" s="12"/>
      <x:c r="B557" s="12"/>
      <x:c r="C557" s="12"/>
      <x:c r="D557" s="12"/>
      <x:c r="E557" s="18"/>
      <x:c r="F557" s="12"/>
      <x:c r="G557" s="12"/>
      <x:c r="H557" s="12"/>
      <x:c r="I557" s="12"/>
    </x:row>
    <x:row r="558">
      <x:c r="A558" s="12"/>
      <x:c r="B558" s="12"/>
      <x:c r="C558" s="12"/>
      <x:c r="D558" s="12"/>
      <x:c r="E558" s="18"/>
      <x:c r="F558" s="12"/>
      <x:c r="G558" s="12"/>
      <x:c r="H558" s="12"/>
      <x:c r="I558" s="12"/>
    </x:row>
    <x:row r="559">
      <x:c r="A559" s="12"/>
      <x:c r="B559" s="12"/>
      <x:c r="C559" s="12"/>
      <x:c r="D559" s="12"/>
      <x:c r="E559" s="18"/>
      <x:c r="F559" s="12"/>
      <x:c r="G559" s="12"/>
      <x:c r="H559" s="12"/>
      <x:c r="I559" s="12"/>
    </x:row>
    <x:row r="560">
      <x:c r="A560" s="12"/>
      <x:c r="B560" s="12"/>
      <x:c r="C560" s="12"/>
      <x:c r="D560" s="12"/>
      <x:c r="E560" s="18"/>
      <x:c r="F560" s="12"/>
      <x:c r="G560" s="12"/>
      <x:c r="H560" s="12"/>
      <x:c r="I560" s="12"/>
    </x:row>
    <x:row r="561">
      <x:c r="A561" s="12"/>
      <x:c r="B561" s="12"/>
      <x:c r="C561" s="12"/>
      <x:c r="D561" s="12"/>
      <x:c r="E561" s="18"/>
      <x:c r="F561" s="12"/>
      <x:c r="G561" s="12"/>
      <x:c r="H561" s="12"/>
      <x:c r="I561" s="12"/>
    </x:row>
    <x:row r="562">
      <x:c r="A562" s="12"/>
      <x:c r="B562" s="12"/>
      <x:c r="C562" s="12"/>
      <x:c r="D562" s="12"/>
      <x:c r="E562" s="18"/>
      <x:c r="F562" s="12"/>
      <x:c r="G562" s="12"/>
      <x:c r="H562" s="12"/>
      <x:c r="I562" s="12"/>
    </x:row>
    <x:row r="563">
      <x:c r="A563" s="12"/>
      <x:c r="B563" s="12"/>
      <x:c r="C563" s="12"/>
      <x:c r="D563" s="12"/>
      <x:c r="E563" s="18"/>
      <x:c r="F563" s="12"/>
      <x:c r="G563" s="12"/>
      <x:c r="H563" s="12"/>
      <x:c r="I563" s="12"/>
    </x:row>
    <x:row r="564">
      <x:c r="A564" s="12"/>
      <x:c r="B564" s="12"/>
      <x:c r="C564" s="12"/>
      <x:c r="D564" s="12"/>
      <x:c r="E564" s="18"/>
      <x:c r="F564" s="12"/>
      <x:c r="G564" s="12"/>
      <x:c r="H564" s="12"/>
      <x:c r="I564" s="12"/>
    </x:row>
    <x:row r="565">
      <x:c r="A565" s="12"/>
      <x:c r="B565" s="12"/>
      <x:c r="C565" s="12"/>
      <x:c r="D565" s="12"/>
      <x:c r="E565" s="18"/>
      <x:c r="F565" s="12"/>
      <x:c r="G565" s="12"/>
      <x:c r="H565" s="12"/>
      <x:c r="I565" s="12"/>
    </x:row>
    <x:row r="566">
      <x:c r="A566" s="12"/>
      <x:c r="B566" s="12"/>
      <x:c r="C566" s="12"/>
      <x:c r="D566" s="12"/>
      <x:c r="E566" s="18"/>
      <x:c r="F566" s="12"/>
      <x:c r="G566" s="12"/>
      <x:c r="H566" s="12"/>
      <x:c r="I566" s="12"/>
    </x:row>
    <x:row r="567">
      <x:c r="A567" s="12"/>
      <x:c r="B567" s="12"/>
      <x:c r="C567" s="12"/>
      <x:c r="D567" s="12"/>
      <x:c r="E567" s="18"/>
      <x:c r="F567" s="12"/>
      <x:c r="G567" s="12"/>
      <x:c r="H567" s="12"/>
      <x:c r="I567" s="12"/>
    </x:row>
    <x:row r="568">
      <x:c r="A568" s="12"/>
      <x:c r="B568" s="12"/>
      <x:c r="C568" s="12"/>
      <x:c r="D568" s="12"/>
      <x:c r="E568" s="18"/>
      <x:c r="F568" s="12"/>
      <x:c r="G568" s="12"/>
      <x:c r="H568" s="12"/>
      <x:c r="I568" s="12"/>
    </x:row>
    <x:row r="569">
      <x:c r="A569" s="12"/>
      <x:c r="B569" s="12"/>
      <x:c r="C569" s="12"/>
      <x:c r="D569" s="12"/>
      <x:c r="E569" s="18"/>
      <x:c r="F569" s="12"/>
      <x:c r="G569" s="12"/>
      <x:c r="H569" s="12"/>
      <x:c r="I569" s="12"/>
    </x:row>
    <x:row r="570">
      <x:c r="A570" s="12"/>
      <x:c r="B570" s="12"/>
      <x:c r="C570" s="12"/>
      <x:c r="D570" s="12"/>
      <x:c r="E570" s="18"/>
      <x:c r="F570" s="12"/>
      <x:c r="G570" s="12"/>
      <x:c r="H570" s="12"/>
      <x:c r="I570" s="12"/>
    </x:row>
    <x:row r="571">
      <x:c r="A571" s="12"/>
      <x:c r="B571" s="12"/>
      <x:c r="C571" s="12"/>
      <x:c r="D571" s="12"/>
      <x:c r="E571" s="18"/>
      <x:c r="F571" s="12"/>
      <x:c r="G571" s="12"/>
      <x:c r="H571" s="12"/>
      <x:c r="I571" s="12"/>
    </x:row>
    <x:row r="572">
      <x:c r="A572" s="12"/>
      <x:c r="B572" s="12"/>
      <x:c r="C572" s="12"/>
      <x:c r="D572" s="12"/>
      <x:c r="E572" s="18"/>
      <x:c r="F572" s="12"/>
      <x:c r="G572" s="12"/>
      <x:c r="H572" s="12"/>
      <x:c r="I572" s="12"/>
    </x:row>
    <x:row r="573">
      <x:c r="A573" s="12"/>
      <x:c r="B573" s="12"/>
      <x:c r="C573" s="12"/>
      <x:c r="D573" s="12"/>
      <x:c r="E573" s="18"/>
      <x:c r="F573" s="12"/>
      <x:c r="G573" s="12"/>
      <x:c r="H573" s="12"/>
      <x:c r="I573" s="12"/>
    </x:row>
    <x:row r="574">
      <x:c r="A574" s="12"/>
      <x:c r="B574" s="12"/>
      <x:c r="C574" s="12"/>
      <x:c r="D574" s="12"/>
      <x:c r="E574" s="18"/>
      <x:c r="F574" s="12"/>
      <x:c r="G574" s="12"/>
      <x:c r="H574" s="12"/>
      <x:c r="I574" s="12"/>
    </x:row>
    <x:row r="575">
      <x:c r="A575" s="12"/>
      <x:c r="B575" s="12"/>
      <x:c r="C575" s="12"/>
      <x:c r="D575" s="12"/>
      <x:c r="E575" s="18"/>
      <x:c r="F575" s="12"/>
      <x:c r="G575" s="12"/>
      <x:c r="H575" s="12"/>
      <x:c r="I575" s="12"/>
    </x:row>
    <x:row r="576">
      <x:c r="A576" s="12"/>
      <x:c r="B576" s="12"/>
      <x:c r="C576" s="12"/>
      <x:c r="D576" s="12"/>
      <x:c r="E576" s="18"/>
      <x:c r="F576" s="12"/>
      <x:c r="G576" s="12"/>
      <x:c r="H576" s="12"/>
      <x:c r="I576" s="12"/>
    </x:row>
    <x:row r="577">
      <x:c r="A577" s="12"/>
      <x:c r="B577" s="12"/>
      <x:c r="C577" s="12"/>
      <x:c r="D577" s="12"/>
      <x:c r="E577" s="18"/>
      <x:c r="F577" s="12"/>
      <x:c r="G577" s="12"/>
      <x:c r="H577" s="12"/>
      <x:c r="I577" s="12"/>
    </x:row>
    <x:row r="578">
      <x:c r="A578" s="12"/>
      <x:c r="B578" s="12"/>
      <x:c r="C578" s="12"/>
      <x:c r="D578" s="12"/>
      <x:c r="E578" s="18"/>
      <x:c r="F578" s="12"/>
      <x:c r="G578" s="12"/>
      <x:c r="H578" s="12"/>
      <x:c r="I578" s="12"/>
    </x:row>
    <x:row r="579">
      <x:c r="A579" s="12"/>
      <x:c r="B579" s="12"/>
      <x:c r="C579" s="12"/>
      <x:c r="D579" s="12"/>
      <x:c r="E579" s="18"/>
      <x:c r="F579" s="12"/>
      <x:c r="G579" s="12"/>
      <x:c r="H579" s="12"/>
      <x:c r="I579" s="12"/>
    </x:row>
    <x:row r="580">
      <x:c r="A580" s="12"/>
      <x:c r="B580" s="12"/>
      <x:c r="C580" s="12"/>
      <x:c r="D580" s="12"/>
      <x:c r="E580" s="18"/>
      <x:c r="F580" s="12"/>
      <x:c r="G580" s="12"/>
      <x:c r="H580" s="12"/>
      <x:c r="I580" s="12"/>
    </x:row>
    <x:row r="581">
      <x:c r="A581" s="12"/>
      <x:c r="B581" s="12"/>
      <x:c r="C581" s="12"/>
      <x:c r="D581" s="12"/>
      <x:c r="E581" s="18"/>
      <x:c r="F581" s="12"/>
      <x:c r="G581" s="12"/>
      <x:c r="H581" s="12"/>
      <x:c r="I581" s="12"/>
    </x:row>
    <x:row r="582">
      <x:c r="A582" s="12"/>
      <x:c r="B582" s="12"/>
      <x:c r="C582" s="12"/>
      <x:c r="D582" s="12"/>
      <x:c r="E582" s="18"/>
      <x:c r="F582" s="12"/>
      <x:c r="G582" s="12"/>
      <x:c r="H582" s="12"/>
      <x:c r="I582" s="12"/>
    </x:row>
    <x:row r="583">
      <x:c r="A583" s="12"/>
      <x:c r="B583" s="12"/>
      <x:c r="C583" s="12"/>
      <x:c r="D583" s="12"/>
      <x:c r="E583" s="18"/>
      <x:c r="F583" s="12"/>
      <x:c r="G583" s="12"/>
      <x:c r="H583" s="12"/>
      <x:c r="I583" s="12"/>
    </x:row>
    <x:row r="584">
      <x:c r="A584" s="12"/>
      <x:c r="B584" s="12"/>
      <x:c r="C584" s="12"/>
      <x:c r="D584" s="12"/>
      <x:c r="E584" s="18"/>
      <x:c r="F584" s="12"/>
      <x:c r="G584" s="12"/>
      <x:c r="H584" s="12"/>
      <x:c r="I584" s="12"/>
    </x:row>
    <x:row r="585">
      <x:c r="A585" s="12"/>
      <x:c r="B585" s="12"/>
      <x:c r="C585" s="12"/>
      <x:c r="D585" s="12"/>
      <x:c r="E585" s="18"/>
      <x:c r="F585" s="12"/>
      <x:c r="G585" s="12"/>
      <x:c r="H585" s="12"/>
      <x:c r="I585" s="12"/>
    </x:row>
    <x:row r="586">
      <x:c r="A586" s="12"/>
      <x:c r="B586" s="12"/>
      <x:c r="C586" s="12"/>
      <x:c r="D586" s="12"/>
      <x:c r="E586" s="18"/>
      <x:c r="F586" s="12"/>
      <x:c r="G586" s="12"/>
      <x:c r="H586" s="12"/>
      <x:c r="I586" s="12"/>
    </x:row>
    <x:row r="587">
      <x:c r="A587" s="12"/>
      <x:c r="B587" s="12"/>
      <x:c r="C587" s="12"/>
      <x:c r="D587" s="12"/>
      <x:c r="E587" s="18"/>
      <x:c r="F587" s="12"/>
      <x:c r="G587" s="12"/>
      <x:c r="H587" s="12"/>
      <x:c r="I587" s="12"/>
    </x:row>
    <x:row r="588">
      <x:c r="A588" s="12"/>
      <x:c r="B588" s="12"/>
      <x:c r="C588" s="12"/>
      <x:c r="D588" s="12"/>
      <x:c r="E588" s="18"/>
      <x:c r="F588" s="12"/>
      <x:c r="G588" s="12"/>
      <x:c r="H588" s="12"/>
      <x:c r="I588" s="12"/>
    </x:row>
    <x:row r="589">
      <x:c r="A589" s="12"/>
      <x:c r="B589" s="12"/>
      <x:c r="C589" s="12"/>
      <x:c r="D589" s="12"/>
      <x:c r="E589" s="18"/>
      <x:c r="F589" s="12"/>
      <x:c r="G589" s="12"/>
      <x:c r="H589" s="12"/>
      <x:c r="I589" s="12"/>
    </x:row>
    <x:row r="590">
      <x:c r="A590" s="12"/>
      <x:c r="B590" s="12"/>
      <x:c r="C590" s="12"/>
      <x:c r="D590" s="12"/>
      <x:c r="E590" s="18"/>
      <x:c r="F590" s="12"/>
      <x:c r="G590" s="12"/>
      <x:c r="H590" s="12"/>
      <x:c r="I590" s="12"/>
    </x:row>
    <x:row r="591">
      <x:c r="A591" s="12"/>
      <x:c r="B591" s="12"/>
      <x:c r="C591" s="12"/>
      <x:c r="D591" s="12"/>
      <x:c r="E591" s="18"/>
      <x:c r="F591" s="12"/>
      <x:c r="G591" s="12"/>
      <x:c r="H591" s="12"/>
      <x:c r="I591" s="12"/>
    </x:row>
    <x:row r="592">
      <x:c r="A592" s="12"/>
      <x:c r="B592" s="12"/>
      <x:c r="C592" s="12"/>
      <x:c r="D592" s="12"/>
      <x:c r="E592" s="18"/>
      <x:c r="F592" s="12"/>
      <x:c r="G592" s="12"/>
      <x:c r="H592" s="12"/>
      <x:c r="I592" s="12"/>
    </x:row>
    <x:row r="593">
      <x:c r="A593" s="12"/>
      <x:c r="B593" s="12"/>
      <x:c r="C593" s="12"/>
      <x:c r="D593" s="12"/>
      <x:c r="E593" s="18"/>
      <x:c r="F593" s="12"/>
      <x:c r="G593" s="12"/>
      <x:c r="H593" s="12"/>
      <x:c r="I593" s="12"/>
    </x:row>
    <x:row r="594">
      <x:c r="A594" s="12"/>
      <x:c r="B594" s="12"/>
      <x:c r="C594" s="12"/>
      <x:c r="D594" s="12"/>
      <x:c r="E594" s="18"/>
      <x:c r="F594" s="12"/>
      <x:c r="G594" s="12"/>
      <x:c r="H594" s="12"/>
      <x:c r="I594" s="12"/>
    </x:row>
    <x:row r="595">
      <x:c r="A595" s="12"/>
      <x:c r="B595" s="12"/>
      <x:c r="C595" s="12"/>
      <x:c r="D595" s="12"/>
      <x:c r="E595" s="18"/>
      <x:c r="F595" s="12"/>
      <x:c r="G595" s="12"/>
      <x:c r="H595" s="12"/>
      <x:c r="I595" s="12"/>
    </x:row>
    <x:row r="596">
      <x:c r="A596" s="12"/>
      <x:c r="B596" s="12"/>
      <x:c r="C596" s="12"/>
      <x:c r="D596" s="12"/>
      <x:c r="E596" s="18"/>
      <x:c r="F596" s="12"/>
      <x:c r="G596" s="12"/>
      <x:c r="H596" s="12"/>
      <x:c r="I596" s="12"/>
    </x:row>
    <x:row r="597">
      <x:c r="A597" s="12"/>
      <x:c r="B597" s="12"/>
      <x:c r="C597" s="12"/>
      <x:c r="D597" s="12"/>
      <x:c r="E597" s="18"/>
      <x:c r="F597" s="12"/>
      <x:c r="G597" s="12"/>
      <x:c r="H597" s="12"/>
      <x:c r="I597" s="12"/>
    </x:row>
    <x:row r="598">
      <x:c r="A598" s="12"/>
      <x:c r="B598" s="12"/>
      <x:c r="C598" s="12"/>
      <x:c r="D598" s="12"/>
      <x:c r="E598" s="18"/>
      <x:c r="F598" s="12"/>
      <x:c r="G598" s="12"/>
      <x:c r="H598" s="12"/>
      <x:c r="I598" s="12"/>
    </x:row>
    <x:row r="599">
      <x:c r="A599" s="12"/>
      <x:c r="B599" s="12"/>
      <x:c r="C599" s="12"/>
      <x:c r="D599" s="12"/>
      <x:c r="E599" s="18"/>
      <x:c r="F599" s="12"/>
      <x:c r="G599" s="12"/>
      <x:c r="H599" s="12"/>
      <x:c r="I599" s="12"/>
    </x:row>
    <x:row r="600">
      <x:c r="A600" s="12"/>
      <x:c r="B600" s="12"/>
      <x:c r="C600" s="12"/>
      <x:c r="D600" s="12"/>
      <x:c r="E600" s="18"/>
      <x:c r="F600" s="12"/>
      <x:c r="G600" s="12"/>
      <x:c r="H600" s="12"/>
      <x:c r="I600" s="12"/>
    </x:row>
    <x:row r="601">
      <x:c r="A601" s="12"/>
      <x:c r="B601" s="12"/>
      <x:c r="C601" s="12"/>
      <x:c r="D601" s="12"/>
      <x:c r="E601" s="18"/>
      <x:c r="F601" s="12"/>
      <x:c r="G601" s="12"/>
      <x:c r="H601" s="12"/>
      <x:c r="I601" s="12"/>
    </x:row>
    <x:row r="602">
      <x:c r="A602" s="12"/>
      <x:c r="B602" s="12"/>
      <x:c r="C602" s="12"/>
      <x:c r="D602" s="12"/>
      <x:c r="E602" s="18"/>
      <x:c r="F602" s="12"/>
      <x:c r="G602" s="12"/>
      <x:c r="H602" s="12"/>
      <x:c r="I602" s="12"/>
    </x:row>
    <x:row r="603">
      <x:c r="A603" s="12"/>
      <x:c r="B603" s="12"/>
      <x:c r="C603" s="12"/>
      <x:c r="D603" s="12"/>
      <x:c r="E603" s="18"/>
      <x:c r="F603" s="12"/>
      <x:c r="G603" s="12"/>
      <x:c r="H603" s="12"/>
      <x:c r="I603" s="12"/>
    </x:row>
    <x:row r="604">
      <x:c r="A604" s="12"/>
      <x:c r="B604" s="12"/>
      <x:c r="C604" s="12"/>
      <x:c r="D604" s="12"/>
      <x:c r="E604" s="18"/>
      <x:c r="F604" s="12"/>
      <x:c r="G604" s="12"/>
      <x:c r="H604" s="12"/>
      <x:c r="I604" s="12"/>
    </x:row>
    <x:row r="605">
      <x:c r="A605" s="12"/>
      <x:c r="B605" s="12"/>
      <x:c r="C605" s="12"/>
      <x:c r="D605" s="12"/>
      <x:c r="E605" s="18"/>
      <x:c r="F605" s="12"/>
      <x:c r="G605" s="12"/>
      <x:c r="H605" s="12"/>
      <x:c r="I605" s="12"/>
    </x:row>
    <x:row r="606">
      <x:c r="A606" s="12"/>
      <x:c r="B606" s="12"/>
      <x:c r="C606" s="12"/>
      <x:c r="D606" s="12"/>
      <x:c r="E606" s="18"/>
      <x:c r="F606" s="12"/>
      <x:c r="G606" s="12"/>
      <x:c r="H606" s="12"/>
      <x:c r="I606" s="12"/>
    </x:row>
    <x:row r="607">
      <x:c r="A607" s="12"/>
      <x:c r="B607" s="12"/>
      <x:c r="C607" s="12"/>
      <x:c r="D607" s="12"/>
      <x:c r="E607" s="18"/>
      <x:c r="F607" s="12"/>
      <x:c r="G607" s="12"/>
      <x:c r="H607" s="12"/>
      <x:c r="I607" s="12"/>
    </x:row>
    <x:row r="608">
      <x:c r="A608" s="12"/>
      <x:c r="B608" s="12"/>
      <x:c r="C608" s="12"/>
      <x:c r="D608" s="12"/>
      <x:c r="E608" s="18"/>
      <x:c r="F608" s="12"/>
      <x:c r="G608" s="12"/>
      <x:c r="H608" s="12"/>
      <x:c r="I608" s="12"/>
    </x:row>
    <x:row r="609">
      <x:c r="A609" s="12"/>
      <x:c r="B609" s="12"/>
      <x:c r="C609" s="12"/>
      <x:c r="D609" s="12"/>
      <x:c r="E609" s="18"/>
      <x:c r="F609" s="12"/>
      <x:c r="G609" s="12"/>
      <x:c r="H609" s="12"/>
      <x:c r="I609" s="12"/>
    </x:row>
    <x:row r="610">
      <x:c r="A610" s="12"/>
      <x:c r="B610" s="12"/>
      <x:c r="C610" s="12"/>
      <x:c r="D610" s="12"/>
      <x:c r="E610" s="18"/>
      <x:c r="F610" s="12"/>
      <x:c r="G610" s="12"/>
      <x:c r="H610" s="12"/>
      <x:c r="I610" s="12"/>
    </x:row>
    <x:row r="611">
      <x:c r="A611" s="12"/>
      <x:c r="B611" s="12"/>
      <x:c r="C611" s="12"/>
      <x:c r="D611" s="12"/>
      <x:c r="E611" s="18"/>
      <x:c r="F611" s="12"/>
      <x:c r="G611" s="12"/>
      <x:c r="H611" s="12"/>
      <x:c r="I611" s="12"/>
    </x:row>
    <x:row r="612">
      <x:c r="A612" s="12"/>
      <x:c r="B612" s="12"/>
      <x:c r="C612" s="12"/>
      <x:c r="D612" s="12"/>
      <x:c r="E612" s="18"/>
      <x:c r="F612" s="12"/>
      <x:c r="G612" s="12"/>
      <x:c r="H612" s="12"/>
      <x:c r="I612" s="12"/>
    </x:row>
    <x:row r="613">
      <x:c r="A613" s="12"/>
      <x:c r="B613" s="12"/>
      <x:c r="C613" s="12"/>
      <x:c r="D613" s="12"/>
      <x:c r="E613" s="18"/>
      <x:c r="F613" s="12"/>
      <x:c r="G613" s="12"/>
      <x:c r="H613" s="12"/>
      <x:c r="I613" s="12"/>
    </x:row>
    <x:row r="614">
      <x:c r="A614" s="12"/>
      <x:c r="B614" s="12"/>
      <x:c r="C614" s="12"/>
      <x:c r="D614" s="12"/>
      <x:c r="E614" s="18"/>
      <x:c r="F614" s="12"/>
      <x:c r="G614" s="12"/>
      <x:c r="H614" s="12"/>
      <x:c r="I614" s="12"/>
    </x:row>
    <x:row r="615">
      <x:c r="A615" s="12"/>
      <x:c r="B615" s="12"/>
      <x:c r="C615" s="12"/>
      <x:c r="D615" s="12"/>
      <x:c r="E615" s="18"/>
      <x:c r="F615" s="12"/>
      <x:c r="G615" s="12"/>
      <x:c r="H615" s="12"/>
      <x:c r="I615" s="12"/>
    </x:row>
    <x:row r="616">
      <x:c r="A616" s="12"/>
      <x:c r="B616" s="12"/>
      <x:c r="C616" s="12"/>
      <x:c r="D616" s="12"/>
      <x:c r="E616" s="18"/>
      <x:c r="F616" s="12"/>
      <x:c r="G616" s="12"/>
      <x:c r="H616" s="12"/>
      <x:c r="I616" s="12"/>
    </x:row>
    <x:row r="617">
      <x:c r="A617" s="12"/>
      <x:c r="B617" s="12"/>
      <x:c r="C617" s="12"/>
      <x:c r="D617" s="12"/>
      <x:c r="E617" s="18"/>
      <x:c r="F617" s="12"/>
      <x:c r="G617" s="12"/>
      <x:c r="H617" s="12"/>
      <x:c r="I617" s="12"/>
    </x:row>
    <x:row r="618">
      <x:c r="A618" s="12"/>
      <x:c r="B618" s="12"/>
      <x:c r="C618" s="12"/>
      <x:c r="D618" s="12"/>
      <x:c r="E618" s="18"/>
      <x:c r="F618" s="12"/>
      <x:c r="G618" s="12"/>
      <x:c r="H618" s="12"/>
      <x:c r="I618" s="12"/>
    </x:row>
    <x:row r="619">
      <x:c r="A619" s="12"/>
      <x:c r="B619" s="12"/>
      <x:c r="C619" s="12"/>
      <x:c r="D619" s="12"/>
      <x:c r="E619" s="18"/>
      <x:c r="F619" s="12"/>
      <x:c r="G619" s="12"/>
      <x:c r="H619" s="12"/>
      <x:c r="I619" s="12"/>
    </x:row>
    <x:row r="620">
      <x:c r="A620" s="12"/>
      <x:c r="B620" s="12"/>
      <x:c r="C620" s="12"/>
      <x:c r="D620" s="12"/>
      <x:c r="E620" s="18"/>
      <x:c r="F620" s="12"/>
      <x:c r="G620" s="12"/>
      <x:c r="H620" s="12"/>
      <x:c r="I620" s="12"/>
    </x:row>
    <x:row r="621">
      <x:c r="A621" s="12"/>
      <x:c r="B621" s="12"/>
      <x:c r="C621" s="12"/>
      <x:c r="D621" s="12"/>
      <x:c r="E621" s="18"/>
      <x:c r="F621" s="12"/>
      <x:c r="G621" s="12"/>
      <x:c r="H621" s="12"/>
      <x:c r="I621" s="12"/>
    </x:row>
    <x:row r="622">
      <x:c r="A622" s="12"/>
      <x:c r="B622" s="12"/>
      <x:c r="C622" s="12"/>
      <x:c r="D622" s="12"/>
      <x:c r="E622" s="18"/>
      <x:c r="F622" s="12"/>
      <x:c r="G622" s="12"/>
      <x:c r="H622" s="12"/>
      <x:c r="I622" s="12"/>
    </x:row>
    <x:row r="623">
      <x:c r="A623" s="12"/>
      <x:c r="B623" s="12"/>
      <x:c r="C623" s="12"/>
      <x:c r="D623" s="12"/>
      <x:c r="E623" s="18"/>
      <x:c r="F623" s="12"/>
      <x:c r="G623" s="12"/>
      <x:c r="H623" s="12"/>
      <x:c r="I623" s="12"/>
    </x:row>
    <x:row r="624">
      <x:c r="A624" s="12"/>
      <x:c r="B624" s="12"/>
      <x:c r="C624" s="12"/>
      <x:c r="D624" s="12"/>
      <x:c r="E624" s="18"/>
      <x:c r="F624" s="12"/>
      <x:c r="G624" s="12"/>
      <x:c r="H624" s="12"/>
      <x:c r="I624" s="12"/>
    </x:row>
    <x:row r="625">
      <x:c r="A625" s="12"/>
      <x:c r="B625" s="12"/>
      <x:c r="C625" s="12"/>
      <x:c r="D625" s="12"/>
      <x:c r="E625" s="18"/>
      <x:c r="F625" s="12"/>
      <x:c r="G625" s="12"/>
      <x:c r="H625" s="12"/>
      <x:c r="I625" s="12"/>
    </x:row>
    <x:row r="626">
      <x:c r="A626" s="12"/>
      <x:c r="B626" s="12"/>
      <x:c r="C626" s="12"/>
      <x:c r="D626" s="12"/>
      <x:c r="E626" s="18"/>
      <x:c r="F626" s="12"/>
      <x:c r="G626" s="12"/>
      <x:c r="H626" s="12"/>
      <x:c r="I626" s="12"/>
    </x:row>
    <x:row r="627">
      <x:c r="A627" s="12"/>
      <x:c r="B627" s="12"/>
      <x:c r="C627" s="12"/>
      <x:c r="D627" s="12"/>
      <x:c r="E627" s="18"/>
      <x:c r="F627" s="12"/>
      <x:c r="G627" s="12"/>
      <x:c r="H627" s="12"/>
      <x:c r="I627" s="12"/>
    </x:row>
    <x:row r="628">
      <x:c r="A628" s="12"/>
      <x:c r="B628" s="12"/>
      <x:c r="C628" s="12"/>
      <x:c r="D628" s="12"/>
      <x:c r="E628" s="18"/>
      <x:c r="F628" s="12"/>
      <x:c r="G628" s="12"/>
      <x:c r="H628" s="12"/>
      <x:c r="I628" s="12"/>
    </x:row>
    <x:row r="629">
      <x:c r="A629" s="12"/>
      <x:c r="B629" s="12"/>
      <x:c r="C629" s="12"/>
      <x:c r="D629" s="12"/>
      <x:c r="E629" s="18"/>
      <x:c r="F629" s="12"/>
      <x:c r="G629" s="12"/>
      <x:c r="H629" s="12"/>
      <x:c r="I629" s="12"/>
    </x:row>
    <x:row r="630">
      <x:c r="A630" s="12"/>
      <x:c r="B630" s="12"/>
      <x:c r="C630" s="12"/>
      <x:c r="D630" s="12"/>
      <x:c r="E630" s="18"/>
      <x:c r="F630" s="12"/>
      <x:c r="G630" s="12"/>
      <x:c r="H630" s="12"/>
      <x:c r="I630" s="12"/>
    </x:row>
    <x:row r="631">
      <x:c r="A631" s="12"/>
      <x:c r="B631" s="12"/>
      <x:c r="C631" s="12"/>
      <x:c r="D631" s="12"/>
      <x:c r="E631" s="18"/>
      <x:c r="F631" s="12"/>
      <x:c r="G631" s="12"/>
      <x:c r="H631" s="12"/>
      <x:c r="I631" s="12"/>
    </x:row>
    <x:row r="632">
      <x:c r="A632" s="12"/>
      <x:c r="B632" s="12"/>
      <x:c r="C632" s="12"/>
      <x:c r="D632" s="12"/>
      <x:c r="E632" s="18"/>
      <x:c r="F632" s="12"/>
      <x:c r="G632" s="12"/>
      <x:c r="H632" s="12"/>
      <x:c r="I632" s="12"/>
    </x:row>
    <x:row r="633">
      <x:c r="A633" s="12"/>
      <x:c r="B633" s="12"/>
      <x:c r="C633" s="12"/>
      <x:c r="D633" s="12"/>
      <x:c r="E633" s="18"/>
      <x:c r="F633" s="12"/>
      <x:c r="G633" s="12"/>
      <x:c r="H633" s="12"/>
      <x:c r="I633" s="12"/>
    </x:row>
    <x:row r="634">
      <x:c r="A634" s="12"/>
      <x:c r="B634" s="12"/>
      <x:c r="C634" s="12"/>
      <x:c r="D634" s="12"/>
      <x:c r="E634" s="18"/>
      <x:c r="F634" s="12"/>
      <x:c r="G634" s="12"/>
      <x:c r="H634" s="12"/>
      <x:c r="I634" s="12"/>
    </x:row>
    <x:row r="635">
      <x:c r="A635" s="12"/>
      <x:c r="B635" s="12"/>
      <x:c r="C635" s="12"/>
      <x:c r="D635" s="12"/>
      <x:c r="E635" s="18"/>
      <x:c r="F635" s="12"/>
      <x:c r="G635" s="12"/>
      <x:c r="H635" s="12"/>
      <x:c r="I635" s="12"/>
    </x:row>
    <x:row r="636">
      <x:c r="A636" s="12"/>
      <x:c r="B636" s="12"/>
      <x:c r="C636" s="12"/>
      <x:c r="D636" s="12"/>
      <x:c r="E636" s="18"/>
      <x:c r="F636" s="12"/>
      <x:c r="G636" s="12"/>
      <x:c r="H636" s="12"/>
      <x:c r="I636" s="12"/>
    </x:row>
    <x:row r="637">
      <x:c r="A637" s="12"/>
      <x:c r="B637" s="12"/>
      <x:c r="C637" s="12"/>
      <x:c r="D637" s="12"/>
      <x:c r="E637" s="18"/>
      <x:c r="F637" s="12"/>
      <x:c r="G637" s="12"/>
      <x:c r="H637" s="12"/>
      <x:c r="I637" s="12"/>
    </x:row>
    <x:row r="638">
      <x:c r="A638" s="12"/>
      <x:c r="B638" s="12"/>
      <x:c r="C638" s="12"/>
      <x:c r="D638" s="12"/>
      <x:c r="E638" s="18"/>
      <x:c r="F638" s="12"/>
      <x:c r="G638" s="12"/>
      <x:c r="H638" s="12"/>
      <x:c r="I638" s="12"/>
    </x:row>
    <x:row r="639">
      <x:c r="A639" s="12"/>
      <x:c r="B639" s="12"/>
      <x:c r="C639" s="12"/>
      <x:c r="D639" s="12"/>
      <x:c r="E639" s="18"/>
      <x:c r="F639" s="12"/>
      <x:c r="G639" s="12"/>
      <x:c r="H639" s="12"/>
      <x:c r="I639" s="12"/>
    </x:row>
    <x:row r="640">
      <x:c r="A640" s="12"/>
      <x:c r="B640" s="12"/>
      <x:c r="C640" s="12"/>
      <x:c r="D640" s="12"/>
      <x:c r="E640" s="18"/>
      <x:c r="F640" s="12"/>
      <x:c r="G640" s="12"/>
      <x:c r="H640" s="12"/>
      <x:c r="I640" s="12"/>
    </x:row>
    <x:row r="641">
      <x:c r="A641" s="12"/>
      <x:c r="B641" s="12"/>
      <x:c r="C641" s="12"/>
      <x:c r="D641" s="12"/>
      <x:c r="E641" s="18"/>
      <x:c r="F641" s="12"/>
      <x:c r="G641" s="12"/>
      <x:c r="H641" s="12"/>
      <x:c r="I641" s="12"/>
    </x:row>
    <x:row r="642">
      <x:c r="A642" s="12"/>
      <x:c r="B642" s="12"/>
      <x:c r="C642" s="12"/>
      <x:c r="D642" s="12"/>
      <x:c r="E642" s="18"/>
      <x:c r="F642" s="12"/>
      <x:c r="G642" s="12"/>
      <x:c r="H642" s="12"/>
      <x:c r="I642" s="12"/>
    </x:row>
    <x:row r="643">
      <x:c r="A643" s="12"/>
      <x:c r="B643" s="12"/>
      <x:c r="C643" s="12"/>
      <x:c r="D643" s="12"/>
      <x:c r="E643" s="18"/>
      <x:c r="F643" s="12"/>
      <x:c r="G643" s="12"/>
      <x:c r="H643" s="12"/>
      <x:c r="I643" s="12"/>
    </x:row>
    <x:row r="644">
      <x:c r="A644" s="12"/>
      <x:c r="B644" s="12"/>
      <x:c r="C644" s="12"/>
      <x:c r="D644" s="12"/>
      <x:c r="E644" s="18"/>
      <x:c r="F644" s="12"/>
      <x:c r="G644" s="12"/>
      <x:c r="H644" s="12"/>
      <x:c r="I644" s="12"/>
    </x:row>
    <x:row r="645">
      <x:c r="A645" s="12"/>
      <x:c r="B645" s="12"/>
      <x:c r="C645" s="12"/>
      <x:c r="D645" s="12"/>
      <x:c r="E645" s="18"/>
      <x:c r="F645" s="12"/>
      <x:c r="G645" s="12"/>
      <x:c r="H645" s="12"/>
      <x:c r="I645" s="12"/>
    </x:row>
    <x:row r="646">
      <x:c r="A646" s="12"/>
      <x:c r="B646" s="12"/>
      <x:c r="C646" s="12"/>
      <x:c r="D646" s="12"/>
      <x:c r="E646" s="18"/>
      <x:c r="F646" s="12"/>
      <x:c r="G646" s="12"/>
      <x:c r="H646" s="12"/>
      <x:c r="I646" s="12"/>
    </x:row>
    <x:row r="647">
      <x:c r="A647" s="12"/>
      <x:c r="B647" s="12"/>
      <x:c r="C647" s="12"/>
      <x:c r="D647" s="12"/>
      <x:c r="E647" s="18"/>
      <x:c r="F647" s="12"/>
      <x:c r="G647" s="12"/>
      <x:c r="H647" s="12"/>
      <x:c r="I647" s="12"/>
    </x:row>
    <x:row r="648">
      <x:c r="A648" s="12"/>
      <x:c r="B648" s="12"/>
      <x:c r="C648" s="12"/>
      <x:c r="D648" s="12"/>
      <x:c r="E648" s="18"/>
      <x:c r="F648" s="12"/>
      <x:c r="G648" s="12"/>
      <x:c r="H648" s="12"/>
      <x:c r="I648" s="12"/>
    </x:row>
    <x:row r="649">
      <x:c r="A649" s="12"/>
      <x:c r="B649" s="12"/>
      <x:c r="C649" s="12"/>
      <x:c r="D649" s="12"/>
      <x:c r="E649" s="18"/>
      <x:c r="F649" s="12"/>
      <x:c r="G649" s="12"/>
      <x:c r="H649" s="12"/>
      <x:c r="I649" s="12"/>
    </x:row>
    <x:row r="650">
      <x:c r="A650" s="12"/>
      <x:c r="B650" s="12"/>
      <x:c r="C650" s="12"/>
      <x:c r="D650" s="12"/>
      <x:c r="E650" s="18"/>
      <x:c r="F650" s="12"/>
      <x:c r="G650" s="12"/>
      <x:c r="H650" s="12"/>
      <x:c r="I650" s="12"/>
    </x:row>
    <x:row r="651">
      <x:c r="A651" s="12"/>
      <x:c r="B651" s="12"/>
      <x:c r="C651" s="12"/>
      <x:c r="D651" s="12"/>
      <x:c r="E651" s="18"/>
      <x:c r="F651" s="12"/>
      <x:c r="G651" s="12"/>
      <x:c r="H651" s="12"/>
      <x:c r="I651" s="12"/>
    </x:row>
    <x:row r="652">
      <x:c r="A652" s="12"/>
      <x:c r="B652" s="12"/>
      <x:c r="C652" s="12"/>
      <x:c r="D652" s="12"/>
      <x:c r="E652" s="18"/>
      <x:c r="F652" s="12"/>
      <x:c r="G652" s="12"/>
      <x:c r="H652" s="12"/>
      <x:c r="I652" s="12"/>
    </x:row>
    <x:row r="653">
      <x:c r="A653" s="12"/>
      <x:c r="B653" s="12"/>
      <x:c r="C653" s="12"/>
      <x:c r="D653" s="12"/>
      <x:c r="E653" s="18"/>
      <x:c r="F653" s="12"/>
      <x:c r="G653" s="12"/>
      <x:c r="H653" s="12"/>
      <x:c r="I653" s="12"/>
    </x:row>
    <x:row r="654">
      <x:c r="A654" s="12"/>
      <x:c r="B654" s="12"/>
      <x:c r="C654" s="12"/>
      <x:c r="D654" s="12"/>
      <x:c r="E654" s="18"/>
      <x:c r="F654" s="12"/>
      <x:c r="G654" s="12"/>
      <x:c r="H654" s="12"/>
      <x:c r="I654" s="12"/>
    </x:row>
    <x:row r="655">
      <x:c r="A655" s="12"/>
      <x:c r="B655" s="12"/>
      <x:c r="C655" s="12"/>
      <x:c r="D655" s="12"/>
      <x:c r="E655" s="18"/>
      <x:c r="F655" s="12"/>
      <x:c r="G655" s="12"/>
      <x:c r="H655" s="12"/>
      <x:c r="I655" s="12"/>
    </x:row>
    <x:row r="656">
      <x:c r="A656" s="12"/>
      <x:c r="B656" s="12"/>
      <x:c r="C656" s="12"/>
      <x:c r="D656" s="12"/>
      <x:c r="E656" s="18"/>
      <x:c r="F656" s="12"/>
      <x:c r="G656" s="12"/>
      <x:c r="H656" s="12"/>
      <x:c r="I656" s="12"/>
    </x:row>
    <x:row r="657">
      <x:c r="A657" s="12"/>
      <x:c r="B657" s="12"/>
      <x:c r="C657" s="12"/>
      <x:c r="D657" s="12"/>
      <x:c r="E657" s="18"/>
      <x:c r="F657" s="12"/>
      <x:c r="G657" s="12"/>
      <x:c r="H657" s="12"/>
      <x:c r="I657" s="12"/>
    </x:row>
    <x:row r="658">
      <x:c r="A658" s="12"/>
      <x:c r="B658" s="12"/>
      <x:c r="C658" s="12"/>
      <x:c r="D658" s="12"/>
      <x:c r="E658" s="18"/>
      <x:c r="F658" s="12"/>
      <x:c r="G658" s="12"/>
      <x:c r="H658" s="12"/>
      <x:c r="I658" s="12"/>
    </x:row>
    <x:row r="659">
      <x:c r="A659" s="12"/>
      <x:c r="B659" s="12"/>
      <x:c r="C659" s="12"/>
      <x:c r="D659" s="12"/>
      <x:c r="E659" s="18"/>
      <x:c r="F659" s="12"/>
      <x:c r="G659" s="12"/>
      <x:c r="H659" s="12"/>
      <x:c r="I659" s="12"/>
    </x:row>
    <x:row r="660">
      <x:c r="A660" s="12"/>
      <x:c r="B660" s="12"/>
      <x:c r="C660" s="12"/>
      <x:c r="D660" s="12"/>
      <x:c r="E660" s="18"/>
      <x:c r="F660" s="12"/>
      <x:c r="G660" s="12"/>
      <x:c r="H660" s="12"/>
      <x:c r="I660" s="12"/>
    </x:row>
    <x:row r="661">
      <x:c r="A661" s="12"/>
      <x:c r="B661" s="12"/>
      <x:c r="C661" s="12"/>
      <x:c r="D661" s="12"/>
      <x:c r="E661" s="18"/>
      <x:c r="F661" s="12"/>
      <x:c r="G661" s="12"/>
      <x:c r="H661" s="12"/>
      <x:c r="I661" s="12"/>
    </x:row>
    <x:row r="662">
      <x:c r="A662" s="12"/>
      <x:c r="B662" s="12"/>
      <x:c r="C662" s="12"/>
      <x:c r="D662" s="12"/>
      <x:c r="E662" s="18"/>
      <x:c r="F662" s="12"/>
      <x:c r="G662" s="12"/>
      <x:c r="H662" s="12"/>
      <x:c r="I662" s="12"/>
    </x:row>
    <x:row r="663">
      <x:c r="A663" s="12"/>
      <x:c r="B663" s="12"/>
      <x:c r="C663" s="12"/>
      <x:c r="D663" s="12"/>
      <x:c r="E663" s="18"/>
      <x:c r="F663" s="12"/>
      <x:c r="G663" s="12"/>
      <x:c r="H663" s="12"/>
      <x:c r="I663" s="12"/>
    </x:row>
    <x:row r="664">
      <x:c r="A664" s="12"/>
      <x:c r="B664" s="12"/>
      <x:c r="C664" s="12"/>
      <x:c r="D664" s="12"/>
      <x:c r="E664" s="18"/>
      <x:c r="F664" s="12"/>
      <x:c r="G664" s="12"/>
      <x:c r="H664" s="12"/>
      <x:c r="I664" s="12"/>
    </x:row>
    <x:row r="665">
      <x:c r="A665" s="12"/>
      <x:c r="B665" s="12"/>
      <x:c r="C665" s="12"/>
      <x:c r="D665" s="12"/>
      <x:c r="E665" s="18"/>
      <x:c r="F665" s="12"/>
      <x:c r="G665" s="12"/>
      <x:c r="H665" s="12"/>
      <x:c r="I665" s="12"/>
    </x:row>
    <x:row r="666">
      <x:c r="A666" s="12"/>
      <x:c r="B666" s="12"/>
      <x:c r="C666" s="12"/>
      <x:c r="D666" s="12"/>
      <x:c r="E666" s="18"/>
      <x:c r="F666" s="12"/>
      <x:c r="G666" s="12"/>
      <x:c r="H666" s="12"/>
      <x:c r="I666" s="12"/>
    </x:row>
    <x:row r="667">
      <x:c r="A667" s="12"/>
      <x:c r="B667" s="12"/>
      <x:c r="C667" s="12"/>
      <x:c r="D667" s="12"/>
      <x:c r="E667" s="18"/>
      <x:c r="F667" s="12"/>
      <x:c r="G667" s="12"/>
      <x:c r="H667" s="12"/>
      <x:c r="I667" s="12"/>
    </x:row>
    <x:row r="668">
      <x:c r="A668" s="12"/>
      <x:c r="B668" s="12"/>
      <x:c r="C668" s="12"/>
      <x:c r="D668" s="12"/>
      <x:c r="E668" s="18"/>
      <x:c r="F668" s="12"/>
      <x:c r="G668" s="12"/>
      <x:c r="H668" s="12"/>
      <x:c r="I668" s="12"/>
    </x:row>
    <x:row r="669">
      <x:c r="A669" s="12"/>
      <x:c r="B669" s="12"/>
      <x:c r="C669" s="12"/>
      <x:c r="D669" s="12"/>
      <x:c r="E669" s="18"/>
      <x:c r="F669" s="12"/>
      <x:c r="G669" s="12"/>
      <x:c r="H669" s="12"/>
      <x:c r="I669" s="12"/>
    </x:row>
    <x:row r="670">
      <x:c r="A670" s="12"/>
      <x:c r="B670" s="12"/>
      <x:c r="C670" s="12"/>
      <x:c r="D670" s="12"/>
      <x:c r="E670" s="18"/>
      <x:c r="F670" s="12"/>
      <x:c r="G670" s="12"/>
      <x:c r="H670" s="12"/>
      <x:c r="I670" s="12"/>
    </x:row>
    <x:row r="671">
      <x:c r="A671" s="12"/>
      <x:c r="B671" s="12"/>
      <x:c r="C671" s="12"/>
      <x:c r="D671" s="12"/>
      <x:c r="E671" s="18"/>
      <x:c r="F671" s="12"/>
      <x:c r="G671" s="12"/>
      <x:c r="H671" s="12"/>
      <x:c r="I671" s="12"/>
    </x:row>
    <x:row r="672">
      <x:c r="A672" s="12"/>
      <x:c r="B672" s="12"/>
      <x:c r="C672" s="12"/>
      <x:c r="D672" s="12"/>
      <x:c r="E672" s="18"/>
      <x:c r="F672" s="12"/>
      <x:c r="G672" s="12"/>
      <x:c r="H672" s="12"/>
      <x:c r="I672" s="12"/>
    </x:row>
    <x:row r="673">
      <x:c r="A673" s="12"/>
      <x:c r="B673" s="12"/>
      <x:c r="C673" s="12"/>
      <x:c r="D673" s="12"/>
      <x:c r="E673" s="18"/>
      <x:c r="F673" s="12"/>
      <x:c r="G673" s="12"/>
      <x:c r="H673" s="12"/>
      <x:c r="I673" s="12"/>
    </x:row>
    <x:row r="674">
      <x:c r="A674" s="12"/>
      <x:c r="B674" s="12"/>
      <x:c r="C674" s="12"/>
      <x:c r="D674" s="12"/>
      <x:c r="E674" s="18"/>
      <x:c r="F674" s="12"/>
      <x:c r="G674" s="12"/>
      <x:c r="H674" s="12"/>
      <x:c r="I674" s="12"/>
    </x:row>
    <x:row r="675">
      <x:c r="A675" s="12"/>
      <x:c r="B675" s="12"/>
      <x:c r="C675" s="12"/>
      <x:c r="D675" s="12"/>
      <x:c r="E675" s="18"/>
      <x:c r="F675" s="12"/>
      <x:c r="G675" s="12"/>
      <x:c r="H675" s="12"/>
      <x:c r="I675" s="12"/>
    </x:row>
    <x:row r="676">
      <x:c r="A676" s="12"/>
      <x:c r="B676" s="12"/>
      <x:c r="C676" s="12"/>
      <x:c r="D676" s="12"/>
      <x:c r="E676" s="18"/>
      <x:c r="F676" s="12"/>
      <x:c r="G676" s="12"/>
      <x:c r="H676" s="12"/>
      <x:c r="I676" s="12"/>
    </x:row>
    <x:row r="677">
      <x:c r="A677" s="12"/>
      <x:c r="B677" s="12"/>
      <x:c r="C677" s="12"/>
      <x:c r="D677" s="12"/>
      <x:c r="E677" s="18"/>
      <x:c r="F677" s="12"/>
      <x:c r="G677" s="12"/>
      <x:c r="H677" s="12"/>
      <x:c r="I677" s="12"/>
    </x:row>
    <x:row r="678">
      <x:c r="A678" s="12"/>
      <x:c r="B678" s="12"/>
      <x:c r="C678" s="12"/>
      <x:c r="D678" s="12"/>
      <x:c r="E678" s="18"/>
      <x:c r="F678" s="12"/>
      <x:c r="G678" s="12"/>
      <x:c r="H678" s="12"/>
      <x:c r="I678" s="12"/>
    </x:row>
    <x:row r="679">
      <x:c r="A679" s="12"/>
      <x:c r="B679" s="12"/>
      <x:c r="C679" s="12"/>
      <x:c r="D679" s="12"/>
      <x:c r="E679" s="18"/>
      <x:c r="F679" s="12"/>
      <x:c r="G679" s="12"/>
      <x:c r="H679" s="12"/>
      <x:c r="I679" s="12"/>
    </x:row>
    <x:row r="680">
      <x:c r="A680" s="12"/>
      <x:c r="B680" s="12"/>
      <x:c r="C680" s="12"/>
      <x:c r="D680" s="12"/>
      <x:c r="E680" s="18"/>
      <x:c r="F680" s="12"/>
      <x:c r="G680" s="12"/>
      <x:c r="H680" s="12"/>
      <x:c r="I680" s="12"/>
    </x:row>
    <x:row r="681">
      <x:c r="A681" s="12"/>
      <x:c r="B681" s="12"/>
      <x:c r="C681" s="12"/>
      <x:c r="D681" s="12"/>
      <x:c r="E681" s="18"/>
      <x:c r="F681" s="12"/>
      <x:c r="G681" s="12"/>
      <x:c r="H681" s="12"/>
      <x:c r="I681" s="12"/>
    </x:row>
    <x:row r="682">
      <x:c r="A682" s="12"/>
      <x:c r="B682" s="12"/>
      <x:c r="C682" s="12"/>
      <x:c r="D682" s="12"/>
      <x:c r="E682" s="18"/>
      <x:c r="F682" s="12"/>
      <x:c r="G682" s="12"/>
      <x:c r="H682" s="12"/>
      <x:c r="I682" s="12"/>
    </x:row>
    <x:row r="683">
      <x:c r="A683" s="12"/>
      <x:c r="B683" s="12"/>
      <x:c r="C683" s="12"/>
      <x:c r="D683" s="12"/>
      <x:c r="E683" s="18"/>
      <x:c r="F683" s="12"/>
      <x:c r="G683" s="12"/>
      <x:c r="H683" s="12"/>
      <x:c r="I683" s="12"/>
    </x:row>
    <x:row r="684">
      <x:c r="A684" s="12"/>
      <x:c r="B684" s="12"/>
      <x:c r="C684" s="12"/>
      <x:c r="D684" s="12"/>
      <x:c r="E684" s="18"/>
      <x:c r="F684" s="12"/>
      <x:c r="G684" s="12"/>
      <x:c r="H684" s="12"/>
      <x:c r="I684" s="12"/>
    </x:row>
    <x:row r="685">
      <x:c r="A685" s="12"/>
      <x:c r="B685" s="12"/>
      <x:c r="C685" s="12"/>
      <x:c r="D685" s="12"/>
      <x:c r="E685" s="18"/>
      <x:c r="F685" s="12"/>
      <x:c r="G685" s="12"/>
      <x:c r="H685" s="12"/>
      <x:c r="I685" s="12"/>
    </x:row>
    <x:row r="686">
      <x:c r="A686" s="12"/>
      <x:c r="B686" s="12"/>
      <x:c r="C686" s="12"/>
      <x:c r="D686" s="12"/>
      <x:c r="E686" s="18"/>
      <x:c r="F686" s="12"/>
      <x:c r="G686" s="12"/>
      <x:c r="H686" s="12"/>
      <x:c r="I686" s="12"/>
    </x:row>
    <x:row r="687">
      <x:c r="A687" s="12"/>
      <x:c r="B687" s="12"/>
      <x:c r="C687" s="12"/>
      <x:c r="D687" s="12"/>
      <x:c r="E687" s="18"/>
      <x:c r="F687" s="12"/>
      <x:c r="G687" s="12"/>
      <x:c r="H687" s="12"/>
      <x:c r="I687" s="12"/>
    </x:row>
    <x:row r="688">
      <x:c r="A688" s="12"/>
      <x:c r="B688" s="12"/>
      <x:c r="C688" s="12"/>
      <x:c r="D688" s="12"/>
      <x:c r="E688" s="18"/>
      <x:c r="F688" s="12"/>
      <x:c r="G688" s="12"/>
      <x:c r="H688" s="12"/>
      <x:c r="I688" s="12"/>
    </x:row>
    <x:row r="689">
      <x:c r="A689" s="12"/>
      <x:c r="B689" s="12"/>
      <x:c r="C689" s="12"/>
      <x:c r="D689" s="12"/>
      <x:c r="E689" s="18"/>
      <x:c r="F689" s="12"/>
      <x:c r="G689" s="12"/>
      <x:c r="H689" s="12"/>
      <x:c r="I689" s="12"/>
    </x:row>
    <x:row r="690">
      <x:c r="A690" s="12"/>
      <x:c r="B690" s="12"/>
      <x:c r="C690" s="12"/>
      <x:c r="D690" s="12"/>
      <x:c r="E690" s="18"/>
      <x:c r="F690" s="12"/>
      <x:c r="G690" s="12"/>
      <x:c r="H690" s="12"/>
      <x:c r="I690" s="12"/>
    </x:row>
    <x:row r="691">
      <x:c r="A691" s="12"/>
      <x:c r="B691" s="12"/>
      <x:c r="C691" s="12"/>
      <x:c r="D691" s="12"/>
      <x:c r="E691" s="18"/>
      <x:c r="F691" s="12"/>
      <x:c r="G691" s="12"/>
      <x:c r="H691" s="12"/>
      <x:c r="I691" s="12"/>
    </x:row>
    <x:row r="692">
      <x:c r="A692" s="12"/>
      <x:c r="B692" s="12"/>
      <x:c r="C692" s="12"/>
      <x:c r="D692" s="12"/>
      <x:c r="E692" s="18"/>
      <x:c r="F692" s="12"/>
      <x:c r="G692" s="12"/>
      <x:c r="H692" s="12"/>
      <x:c r="I692" s="12"/>
    </x:row>
    <x:row r="693">
      <x:c r="A693" s="12"/>
      <x:c r="B693" s="12"/>
      <x:c r="C693" s="12"/>
      <x:c r="D693" s="12"/>
      <x:c r="E693" s="18"/>
      <x:c r="F693" s="12"/>
      <x:c r="G693" s="12"/>
      <x:c r="H693" s="12"/>
      <x:c r="I693" s="12"/>
    </x:row>
    <x:row r="694">
      <x:c r="A694" s="12"/>
      <x:c r="B694" s="12"/>
      <x:c r="C694" s="12"/>
      <x:c r="D694" s="12"/>
      <x:c r="E694" s="18"/>
      <x:c r="F694" s="12"/>
      <x:c r="G694" s="12"/>
      <x:c r="H694" s="12"/>
      <x:c r="I694" s="12"/>
    </x:row>
    <x:row r="695">
      <x:c r="A695" s="12"/>
      <x:c r="B695" s="12"/>
      <x:c r="C695" s="12"/>
      <x:c r="D695" s="12"/>
      <x:c r="E695" s="18"/>
      <x:c r="F695" s="12"/>
      <x:c r="G695" s="12"/>
      <x:c r="H695" s="12"/>
      <x:c r="I695" s="12"/>
    </x:row>
    <x:row r="696">
      <x:c r="A696" s="12"/>
      <x:c r="B696" s="12"/>
      <x:c r="C696" s="12"/>
      <x:c r="D696" s="12"/>
      <x:c r="E696" s="18"/>
      <x:c r="F696" s="12"/>
      <x:c r="G696" s="12"/>
      <x:c r="H696" s="12"/>
      <x:c r="I696" s="12"/>
    </x:row>
    <x:row r="697">
      <x:c r="A697" s="12"/>
      <x:c r="B697" s="12"/>
      <x:c r="C697" s="12"/>
      <x:c r="D697" s="12"/>
      <x:c r="E697" s="18"/>
      <x:c r="F697" s="12"/>
      <x:c r="G697" s="12"/>
      <x:c r="H697" s="12"/>
      <x:c r="I697" s="12"/>
    </x:row>
    <x:row r="698">
      <x:c r="A698" s="12"/>
      <x:c r="B698" s="12"/>
      <x:c r="C698" s="12"/>
      <x:c r="D698" s="12"/>
      <x:c r="E698" s="18"/>
      <x:c r="F698" s="12"/>
      <x:c r="G698" s="12"/>
      <x:c r="H698" s="12"/>
      <x:c r="I698" s="12"/>
    </x:row>
    <x:row r="699">
      <x:c r="A699" s="12"/>
      <x:c r="B699" s="12"/>
      <x:c r="C699" s="12"/>
      <x:c r="D699" s="12"/>
      <x:c r="E699" s="18"/>
      <x:c r="F699" s="12"/>
      <x:c r="G699" s="12"/>
      <x:c r="H699" s="12"/>
      <x:c r="I699" s="12"/>
    </x:row>
    <x:row r="700">
      <x:c r="A700" s="12"/>
      <x:c r="B700" s="12"/>
      <x:c r="C700" s="12"/>
      <x:c r="D700" s="12"/>
      <x:c r="E700" s="18"/>
      <x:c r="F700" s="12"/>
      <x:c r="G700" s="12"/>
      <x:c r="H700" s="12"/>
      <x:c r="I700" s="12"/>
    </x:row>
    <x:row r="701">
      <x:c r="A701" s="12"/>
      <x:c r="B701" s="12"/>
      <x:c r="C701" s="12"/>
      <x:c r="D701" s="12"/>
      <x:c r="E701" s="18"/>
      <x:c r="F701" s="12"/>
      <x:c r="G701" s="12"/>
      <x:c r="H701" s="12"/>
      <x:c r="I701" s="12"/>
    </x:row>
    <x:row r="702">
      <x:c r="A702" s="12"/>
      <x:c r="B702" s="12"/>
      <x:c r="C702" s="12"/>
      <x:c r="D702" s="12"/>
      <x:c r="E702" s="18"/>
      <x:c r="F702" s="12"/>
      <x:c r="G702" s="12"/>
      <x:c r="H702" s="12"/>
      <x:c r="I702" s="12"/>
    </x:row>
    <x:row r="703">
      <x:c r="A703" s="12"/>
      <x:c r="B703" s="12"/>
      <x:c r="C703" s="12"/>
      <x:c r="D703" s="12"/>
      <x:c r="E703" s="18"/>
      <x:c r="F703" s="12"/>
      <x:c r="G703" s="12"/>
      <x:c r="H703" s="12"/>
      <x:c r="I703" s="12"/>
    </x:row>
    <x:row r="704">
      <x:c r="A704" s="12"/>
      <x:c r="B704" s="12"/>
      <x:c r="C704" s="12"/>
      <x:c r="D704" s="12"/>
      <x:c r="E704" s="18"/>
      <x:c r="F704" s="12"/>
      <x:c r="G704" s="12"/>
      <x:c r="H704" s="12"/>
      <x:c r="I704" s="12"/>
    </x:row>
    <x:row r="705">
      <x:c r="A705" s="12"/>
      <x:c r="B705" s="12"/>
      <x:c r="C705" s="12"/>
      <x:c r="D705" s="12"/>
      <x:c r="E705" s="18"/>
      <x:c r="F705" s="12"/>
      <x:c r="G705" s="12"/>
      <x:c r="H705" s="12"/>
      <x:c r="I705" s="12"/>
    </x:row>
    <x:row r="706">
      <x:c r="A706" s="12"/>
      <x:c r="B706" s="12"/>
      <x:c r="C706" s="12"/>
      <x:c r="D706" s="12"/>
      <x:c r="E706" s="18"/>
      <x:c r="F706" s="12"/>
      <x:c r="G706" s="12"/>
      <x:c r="H706" s="12"/>
      <x:c r="I706" s="12"/>
    </x:row>
    <x:row r="707">
      <x:c r="A707" s="12"/>
      <x:c r="B707" s="12"/>
      <x:c r="C707" s="12"/>
      <x:c r="D707" s="12"/>
      <x:c r="E707" s="18"/>
      <x:c r="F707" s="12"/>
      <x:c r="G707" s="12"/>
      <x:c r="H707" s="12"/>
      <x:c r="I707" s="12"/>
    </x:row>
    <x:row r="708">
      <x:c r="A708" s="12"/>
      <x:c r="B708" s="12"/>
      <x:c r="C708" s="12"/>
      <x:c r="D708" s="12"/>
      <x:c r="E708" s="18"/>
      <x:c r="F708" s="12"/>
      <x:c r="G708" s="12"/>
      <x:c r="H708" s="12"/>
      <x:c r="I708" s="12"/>
    </x:row>
    <x:row r="709">
      <x:c r="A709" s="12"/>
      <x:c r="B709" s="12"/>
      <x:c r="C709" s="12"/>
      <x:c r="D709" s="12"/>
      <x:c r="E709" s="18"/>
      <x:c r="F709" s="12"/>
      <x:c r="G709" s="12"/>
      <x:c r="H709" s="12"/>
      <x:c r="I709" s="12"/>
    </x:row>
    <x:row r="710">
      <x:c r="A710" s="12"/>
      <x:c r="B710" s="12"/>
      <x:c r="C710" s="12"/>
      <x:c r="D710" s="12"/>
      <x:c r="E710" s="18"/>
      <x:c r="F710" s="12"/>
      <x:c r="G710" s="12"/>
      <x:c r="H710" s="12"/>
      <x:c r="I710" s="12"/>
    </x:row>
    <x:row r="711">
      <x:c r="A711" s="12"/>
      <x:c r="B711" s="12"/>
      <x:c r="C711" s="12"/>
      <x:c r="D711" s="12"/>
      <x:c r="E711" s="18"/>
      <x:c r="F711" s="12"/>
      <x:c r="G711" s="12"/>
      <x:c r="H711" s="12"/>
      <x:c r="I711" s="12"/>
    </x:row>
    <x:row r="712">
      <x:c r="A712" s="12"/>
      <x:c r="B712" s="12"/>
      <x:c r="C712" s="12"/>
      <x:c r="D712" s="12"/>
      <x:c r="E712" s="18"/>
      <x:c r="F712" s="12"/>
      <x:c r="G712" s="12"/>
      <x:c r="H712" s="12"/>
      <x:c r="I712" s="12"/>
    </x:row>
    <x:row r="713">
      <x:c r="A713" s="12"/>
      <x:c r="B713" s="12"/>
      <x:c r="C713" s="12"/>
      <x:c r="D713" s="12"/>
      <x:c r="E713" s="18"/>
      <x:c r="F713" s="12"/>
      <x:c r="G713" s="12"/>
      <x:c r="H713" s="12"/>
      <x:c r="I713" s="12"/>
    </x:row>
    <x:row r="714">
      <x:c r="A714" s="12"/>
      <x:c r="B714" s="12"/>
      <x:c r="C714" s="12"/>
      <x:c r="D714" s="12"/>
      <x:c r="E714" s="18"/>
      <x:c r="F714" s="12"/>
      <x:c r="G714" s="12"/>
      <x:c r="H714" s="12"/>
      <x:c r="I714" s="12"/>
    </x:row>
    <x:row r="715">
      <x:c r="A715" s="12"/>
      <x:c r="B715" s="12"/>
      <x:c r="C715" s="12"/>
      <x:c r="D715" s="12"/>
      <x:c r="E715" s="18"/>
      <x:c r="F715" s="12"/>
      <x:c r="G715" s="12"/>
      <x:c r="H715" s="12"/>
      <x:c r="I715" s="12"/>
    </x:row>
    <x:row r="716">
      <x:c r="A716" s="12"/>
      <x:c r="B716" s="12"/>
      <x:c r="C716" s="12"/>
      <x:c r="D716" s="12"/>
      <x:c r="E716" s="18"/>
      <x:c r="F716" s="12"/>
      <x:c r="G716" s="12"/>
      <x:c r="H716" s="12"/>
      <x:c r="I716" s="12"/>
    </x:row>
    <x:row r="717">
      <x:c r="A717" s="12"/>
      <x:c r="B717" s="12"/>
      <x:c r="C717" s="12"/>
      <x:c r="D717" s="12"/>
      <x:c r="E717" s="18"/>
      <x:c r="F717" s="12"/>
      <x:c r="G717" s="12"/>
      <x:c r="H717" s="12"/>
      <x:c r="I717" s="12"/>
    </x:row>
    <x:row r="718">
      <x:c r="A718" s="12"/>
      <x:c r="B718" s="12"/>
      <x:c r="C718" s="12"/>
      <x:c r="D718" s="12"/>
      <x:c r="E718" s="18"/>
      <x:c r="F718" s="12"/>
      <x:c r="G718" s="12"/>
      <x:c r="H718" s="12"/>
      <x:c r="I718" s="12"/>
    </x:row>
    <x:row r="719">
      <x:c r="A719" s="12"/>
      <x:c r="B719" s="12"/>
      <x:c r="C719" s="12"/>
      <x:c r="D719" s="12"/>
      <x:c r="E719" s="18"/>
      <x:c r="F719" s="12"/>
      <x:c r="G719" s="12"/>
      <x:c r="H719" s="12"/>
      <x:c r="I719" s="12"/>
    </x:row>
    <x:row r="720">
      <x:c r="A720" s="12"/>
      <x:c r="B720" s="12"/>
      <x:c r="C720" s="12"/>
      <x:c r="D720" s="12"/>
      <x:c r="E720" s="18"/>
      <x:c r="F720" s="12"/>
      <x:c r="G720" s="12"/>
      <x:c r="H720" s="12"/>
      <x:c r="I720" s="12"/>
    </x:row>
    <x:row r="721">
      <x:c r="A721" s="12"/>
      <x:c r="B721" s="12"/>
      <x:c r="C721" s="12"/>
      <x:c r="D721" s="12"/>
      <x:c r="E721" s="18"/>
      <x:c r="F721" s="12"/>
      <x:c r="G721" s="12"/>
      <x:c r="H721" s="12"/>
      <x:c r="I721" s="12"/>
    </x:row>
    <x:row r="722">
      <x:c r="A722" s="12"/>
      <x:c r="B722" s="12"/>
      <x:c r="C722" s="12"/>
      <x:c r="D722" s="12"/>
      <x:c r="E722" s="18"/>
      <x:c r="F722" s="12"/>
      <x:c r="G722" s="12"/>
      <x:c r="H722" s="12"/>
      <x:c r="I722" s="12"/>
    </x:row>
    <x:row r="723">
      <x:c r="A723" s="12"/>
      <x:c r="B723" s="12"/>
      <x:c r="C723" s="12"/>
      <x:c r="D723" s="12"/>
      <x:c r="E723" s="18"/>
      <x:c r="F723" s="12"/>
      <x:c r="G723" s="12"/>
      <x:c r="H723" s="12"/>
      <x:c r="I723" s="12"/>
    </x:row>
    <x:row r="724">
      <x:c r="A724" s="12"/>
      <x:c r="B724" s="12"/>
      <x:c r="C724" s="12"/>
      <x:c r="D724" s="12"/>
      <x:c r="E724" s="18"/>
      <x:c r="F724" s="12"/>
      <x:c r="G724" s="12"/>
      <x:c r="H724" s="12"/>
      <x:c r="I724" s="12"/>
    </x:row>
    <x:row r="725">
      <x:c r="A725" s="12"/>
      <x:c r="B725" s="12"/>
      <x:c r="C725" s="12"/>
      <x:c r="D725" s="12"/>
      <x:c r="E725" s="18"/>
      <x:c r="F725" s="12"/>
      <x:c r="G725" s="12"/>
      <x:c r="H725" s="12"/>
      <x:c r="I725" s="12"/>
    </x:row>
    <x:row r="726">
      <x:c r="A726" s="12"/>
      <x:c r="B726" s="12"/>
      <x:c r="C726" s="12"/>
      <x:c r="D726" s="12"/>
      <x:c r="E726" s="18"/>
      <x:c r="F726" s="12"/>
      <x:c r="G726" s="12"/>
      <x:c r="H726" s="12"/>
      <x:c r="I726" s="12"/>
    </x:row>
    <x:row r="727">
      <x:c r="A727" s="12"/>
      <x:c r="B727" s="12"/>
      <x:c r="C727" s="12"/>
      <x:c r="D727" s="12"/>
      <x:c r="E727" s="18"/>
      <x:c r="F727" s="12"/>
      <x:c r="G727" s="12"/>
      <x:c r="H727" s="12"/>
      <x:c r="I727" s="12"/>
    </x:row>
    <x:row r="728">
      <x:c r="A728" s="12"/>
      <x:c r="B728" s="12"/>
      <x:c r="C728" s="12"/>
      <x:c r="D728" s="12"/>
      <x:c r="E728" s="18"/>
      <x:c r="F728" s="12"/>
      <x:c r="G728" s="12"/>
      <x:c r="H728" s="12"/>
      <x:c r="I728" s="12"/>
    </x:row>
    <x:row r="729">
      <x:c r="A729" s="12"/>
      <x:c r="B729" s="12"/>
      <x:c r="C729" s="12"/>
      <x:c r="D729" s="12"/>
      <x:c r="E729" s="18"/>
      <x:c r="F729" s="12"/>
      <x:c r="G729" s="12"/>
      <x:c r="H729" s="12"/>
      <x:c r="I729" s="12"/>
    </x:row>
    <x:row r="730">
      <x:c r="A730" s="12"/>
      <x:c r="B730" s="12"/>
      <x:c r="C730" s="12"/>
      <x:c r="D730" s="12"/>
      <x:c r="E730" s="18"/>
      <x:c r="F730" s="12"/>
      <x:c r="G730" s="12"/>
      <x:c r="H730" s="12"/>
      <x:c r="I730" s="12"/>
    </x:row>
    <x:row r="731">
      <x:c r="A731" s="12"/>
      <x:c r="B731" s="12"/>
      <x:c r="C731" s="12"/>
      <x:c r="D731" s="12"/>
      <x:c r="E731" s="18"/>
      <x:c r="F731" s="12"/>
      <x:c r="G731" s="12"/>
      <x:c r="H731" s="12"/>
      <x:c r="I731" s="12"/>
    </x:row>
    <x:row r="732">
      <x:c r="A732" s="12"/>
      <x:c r="B732" s="12"/>
      <x:c r="C732" s="12"/>
      <x:c r="D732" s="12"/>
      <x:c r="E732" s="18"/>
      <x:c r="F732" s="12"/>
      <x:c r="G732" s="12"/>
      <x:c r="H732" s="12"/>
      <x:c r="I732" s="12"/>
    </x:row>
    <x:row r="733">
      <x:c r="A733" s="12"/>
      <x:c r="B733" s="12"/>
      <x:c r="C733" s="12"/>
      <x:c r="D733" s="12"/>
      <x:c r="E733" s="18"/>
      <x:c r="F733" s="12"/>
      <x:c r="G733" s="12"/>
      <x:c r="H733" s="12"/>
      <x:c r="I733" s="12"/>
    </x:row>
    <x:row r="734">
      <x:c r="A734" s="12"/>
      <x:c r="B734" s="12"/>
      <x:c r="C734" s="12"/>
      <x:c r="D734" s="12"/>
      <x:c r="E734" s="18"/>
      <x:c r="F734" s="12"/>
      <x:c r="G734" s="12"/>
      <x:c r="H734" s="12"/>
      <x:c r="I734" s="12"/>
    </x:row>
    <x:row r="735">
      <x:c r="A735" s="12"/>
      <x:c r="B735" s="12"/>
      <x:c r="C735" s="12"/>
      <x:c r="D735" s="12"/>
      <x:c r="E735" s="18"/>
      <x:c r="F735" s="12"/>
      <x:c r="G735" s="12"/>
      <x:c r="H735" s="12"/>
      <x:c r="I735" s="12"/>
    </x:row>
    <x:row r="736">
      <x:c r="A736" s="12"/>
      <x:c r="B736" s="12"/>
      <x:c r="C736" s="12"/>
      <x:c r="D736" s="12"/>
      <x:c r="E736" s="18"/>
      <x:c r="F736" s="12"/>
      <x:c r="G736" s="12"/>
      <x:c r="H736" s="12"/>
      <x:c r="I736" s="12"/>
    </x:row>
    <x:row r="737">
      <x:c r="A737" s="12"/>
      <x:c r="B737" s="12"/>
      <x:c r="C737" s="12"/>
      <x:c r="D737" s="12"/>
      <x:c r="E737" s="18"/>
      <x:c r="F737" s="12"/>
      <x:c r="G737" s="12"/>
      <x:c r="H737" s="12"/>
      <x:c r="I737" s="12"/>
    </x:row>
    <x:row r="738">
      <x:c r="A738" s="12"/>
      <x:c r="B738" s="12"/>
      <x:c r="C738" s="12"/>
      <x:c r="D738" s="12"/>
      <x:c r="E738" s="18"/>
      <x:c r="F738" s="12"/>
      <x:c r="G738" s="12"/>
      <x:c r="H738" s="12"/>
      <x:c r="I738" s="12"/>
    </x:row>
    <x:row r="739">
      <x:c r="A739" s="12"/>
      <x:c r="B739" s="12"/>
      <x:c r="C739" s="12"/>
      <x:c r="D739" s="12"/>
      <x:c r="E739" s="18"/>
      <x:c r="F739" s="12"/>
      <x:c r="G739" s="12"/>
      <x:c r="H739" s="12"/>
      <x:c r="I739" s="12"/>
    </x:row>
    <x:row r="740">
      <x:c r="A740" s="12"/>
      <x:c r="B740" s="12"/>
      <x:c r="C740" s="12"/>
      <x:c r="D740" s="12"/>
      <x:c r="E740" s="18"/>
      <x:c r="F740" s="12"/>
      <x:c r="G740" s="12"/>
      <x:c r="H740" s="12"/>
      <x:c r="I740" s="12"/>
    </x:row>
    <x:row r="741">
      <x:c r="A741" s="12"/>
      <x:c r="B741" s="12"/>
      <x:c r="C741" s="12"/>
      <x:c r="D741" s="12"/>
      <x:c r="E741" s="18"/>
      <x:c r="F741" s="12"/>
      <x:c r="G741" s="12"/>
      <x:c r="H741" s="12"/>
      <x:c r="I741" s="12"/>
    </x:row>
    <x:row r="742">
      <x:c r="A742" s="12"/>
      <x:c r="B742" s="12"/>
      <x:c r="C742" s="12"/>
      <x:c r="D742" s="12"/>
      <x:c r="E742" s="18"/>
      <x:c r="F742" s="12"/>
      <x:c r="G742" s="12"/>
      <x:c r="H742" s="12"/>
      <x:c r="I742" s="12"/>
    </x:row>
    <x:row r="743">
      <x:c r="A743" s="12"/>
      <x:c r="B743" s="12"/>
      <x:c r="C743" s="12"/>
      <x:c r="D743" s="12"/>
      <x:c r="E743" s="18"/>
      <x:c r="F743" s="12"/>
      <x:c r="G743" s="12"/>
      <x:c r="H743" s="12"/>
      <x:c r="I743" s="12"/>
    </x:row>
    <x:row r="744">
      <x:c r="A744" s="12"/>
      <x:c r="B744" s="12"/>
      <x:c r="C744" s="12"/>
      <x:c r="D744" s="12"/>
      <x:c r="E744" s="18"/>
      <x:c r="F744" s="12"/>
      <x:c r="G744" s="12"/>
      <x:c r="H744" s="12"/>
      <x:c r="I744" s="12"/>
    </x:row>
    <x:row r="745">
      <x:c r="A745" s="12"/>
      <x:c r="B745" s="12"/>
      <x:c r="C745" s="12"/>
      <x:c r="D745" s="12"/>
      <x:c r="E745" s="18"/>
      <x:c r="F745" s="12"/>
      <x:c r="G745" s="12"/>
      <x:c r="H745" s="12"/>
      <x:c r="I745" s="12"/>
    </x:row>
    <x:row r="746">
      <x:c r="A746" s="12"/>
      <x:c r="B746" s="12"/>
      <x:c r="C746" s="12"/>
      <x:c r="D746" s="12"/>
      <x:c r="E746" s="18"/>
      <x:c r="F746" s="12"/>
      <x:c r="G746" s="12"/>
      <x:c r="H746" s="12"/>
      <x:c r="I746" s="12"/>
    </x:row>
    <x:row r="747">
      <x:c r="A747" s="12"/>
      <x:c r="B747" s="12"/>
      <x:c r="C747" s="12"/>
      <x:c r="D747" s="12"/>
      <x:c r="E747" s="18"/>
      <x:c r="F747" s="12"/>
      <x:c r="G747" s="12"/>
      <x:c r="H747" s="12"/>
      <x:c r="I747" s="12"/>
    </x:row>
    <x:row r="748">
      <x:c r="A748" s="12"/>
      <x:c r="B748" s="12"/>
      <x:c r="C748" s="12"/>
      <x:c r="D748" s="12"/>
      <x:c r="E748" s="18"/>
      <x:c r="F748" s="12"/>
      <x:c r="G748" s="12"/>
      <x:c r="H748" s="12"/>
      <x:c r="I748" s="12"/>
    </x:row>
    <x:row r="749">
      <x:c r="A749" s="12"/>
      <x:c r="B749" s="12"/>
      <x:c r="C749" s="12"/>
      <x:c r="D749" s="12"/>
      <x:c r="E749" s="18"/>
      <x:c r="F749" s="12"/>
      <x:c r="G749" s="12"/>
      <x:c r="H749" s="12"/>
      <x:c r="I749" s="12"/>
    </x:row>
    <x:row r="750">
      <x:c r="A750" s="12"/>
      <x:c r="B750" s="12"/>
      <x:c r="C750" s="12"/>
      <x:c r="D750" s="12"/>
      <x:c r="E750" s="18"/>
      <x:c r="F750" s="12"/>
      <x:c r="G750" s="12"/>
      <x:c r="H750" s="12"/>
      <x:c r="I750" s="12"/>
    </x:row>
    <x:row r="751">
      <x:c r="A751" s="12"/>
      <x:c r="B751" s="12"/>
      <x:c r="C751" s="12"/>
      <x:c r="D751" s="12"/>
      <x:c r="E751" s="18"/>
      <x:c r="F751" s="12"/>
      <x:c r="G751" s="12"/>
      <x:c r="H751" s="12"/>
      <x:c r="I751" s="12"/>
    </x:row>
    <x:row r="752">
      <x:c r="A752" s="12"/>
      <x:c r="B752" s="12"/>
      <x:c r="C752" s="12"/>
      <x:c r="D752" s="12"/>
      <x:c r="E752" s="18"/>
      <x:c r="F752" s="12"/>
      <x:c r="G752" s="12"/>
      <x:c r="H752" s="12"/>
      <x:c r="I752" s="12"/>
    </x:row>
    <x:row r="753">
      <x:c r="A753" s="12"/>
      <x:c r="B753" s="12"/>
      <x:c r="C753" s="12"/>
      <x:c r="D753" s="12"/>
      <x:c r="E753" s="18"/>
      <x:c r="F753" s="12"/>
      <x:c r="G753" s="12"/>
      <x:c r="H753" s="12"/>
      <x:c r="I753" s="12"/>
    </x:row>
    <x:row r="754">
      <x:c r="A754" s="12"/>
      <x:c r="B754" s="12"/>
      <x:c r="C754" s="12"/>
      <x:c r="D754" s="12"/>
      <x:c r="E754" s="18"/>
      <x:c r="F754" s="12"/>
      <x:c r="G754" s="12"/>
      <x:c r="H754" s="12"/>
      <x:c r="I754" s="12"/>
    </x:row>
    <x:row r="755">
      <x:c r="A755" s="12"/>
      <x:c r="B755" s="12"/>
      <x:c r="C755" s="12"/>
      <x:c r="D755" s="12"/>
      <x:c r="E755" s="18"/>
      <x:c r="F755" s="12"/>
      <x:c r="G755" s="12"/>
      <x:c r="H755" s="12"/>
      <x:c r="I755" s="12"/>
    </x:row>
    <x:row r="756">
      <x:c r="A756" s="12"/>
      <x:c r="B756" s="12"/>
      <x:c r="C756" s="12"/>
      <x:c r="D756" s="12"/>
      <x:c r="E756" s="18"/>
      <x:c r="F756" s="12"/>
      <x:c r="G756" s="12"/>
      <x:c r="H756" s="12"/>
      <x:c r="I756" s="12"/>
    </x:row>
    <x:row r="757">
      <x:c r="A757" s="12"/>
      <x:c r="B757" s="12"/>
      <x:c r="C757" s="12"/>
      <x:c r="D757" s="12"/>
      <x:c r="E757" s="18"/>
      <x:c r="F757" s="12"/>
      <x:c r="G757" s="12"/>
      <x:c r="H757" s="12"/>
      <x:c r="I757" s="12"/>
    </x:row>
    <x:row r="758">
      <x:c r="A758" s="12"/>
      <x:c r="B758" s="12"/>
      <x:c r="C758" s="12"/>
      <x:c r="D758" s="12"/>
      <x:c r="E758" s="18"/>
      <x:c r="F758" s="12"/>
      <x:c r="G758" s="12"/>
      <x:c r="H758" s="12"/>
      <x:c r="I758" s="12"/>
    </x:row>
    <x:row r="759">
      <x:c r="A759" s="12"/>
      <x:c r="B759" s="12"/>
      <x:c r="C759" s="12"/>
      <x:c r="D759" s="12"/>
      <x:c r="E759" s="18"/>
      <x:c r="F759" s="12"/>
      <x:c r="G759" s="12"/>
      <x:c r="H759" s="12"/>
      <x:c r="I759" s="12"/>
    </x:row>
    <x:row r="760">
      <x:c r="A760" s="12"/>
      <x:c r="B760" s="12"/>
      <x:c r="C760" s="12"/>
      <x:c r="D760" s="12"/>
      <x:c r="E760" s="18"/>
      <x:c r="F760" s="12"/>
      <x:c r="G760" s="12"/>
      <x:c r="H760" s="12"/>
      <x:c r="I760" s="12"/>
    </x:row>
    <x:row r="761">
      <x:c r="A761" s="12"/>
      <x:c r="B761" s="12"/>
      <x:c r="C761" s="12"/>
      <x:c r="D761" s="12"/>
      <x:c r="E761" s="18"/>
      <x:c r="F761" s="12"/>
      <x:c r="G761" s="12"/>
      <x:c r="H761" s="12"/>
      <x:c r="I761" s="12"/>
    </x:row>
    <x:row r="762">
      <x:c r="A762" s="12"/>
      <x:c r="B762" s="12"/>
      <x:c r="C762" s="12"/>
      <x:c r="D762" s="12"/>
      <x:c r="E762" s="18"/>
      <x:c r="F762" s="12"/>
      <x:c r="G762" s="12"/>
      <x:c r="H762" s="12"/>
      <x:c r="I762" s="12"/>
    </x:row>
    <x:row r="763">
      <x:c r="A763" s="12"/>
      <x:c r="B763" s="12"/>
      <x:c r="C763" s="12"/>
      <x:c r="D763" s="12"/>
      <x:c r="E763" s="18"/>
      <x:c r="F763" s="12"/>
      <x:c r="G763" s="12"/>
      <x:c r="H763" s="12"/>
      <x:c r="I763" s="12"/>
    </x:row>
    <x:row r="764">
      <x:c r="A764" s="12"/>
      <x:c r="B764" s="12"/>
      <x:c r="C764" s="12"/>
      <x:c r="D764" s="12"/>
      <x:c r="E764" s="18"/>
      <x:c r="F764" s="12"/>
      <x:c r="G764" s="12"/>
      <x:c r="H764" s="12"/>
      <x:c r="I764" s="12"/>
    </x:row>
    <x:row r="765">
      <x:c r="A765" s="12"/>
      <x:c r="B765" s="12"/>
      <x:c r="C765" s="12"/>
      <x:c r="D765" s="12"/>
      <x:c r="E765" s="18"/>
      <x:c r="F765" s="12"/>
      <x:c r="G765" s="12"/>
      <x:c r="H765" s="12"/>
      <x:c r="I765" s="12"/>
    </x:row>
    <x:row r="766">
      <x:c r="A766" s="12"/>
      <x:c r="B766" s="12"/>
      <x:c r="C766" s="12"/>
      <x:c r="D766" s="12"/>
      <x:c r="E766" s="18"/>
      <x:c r="F766" s="12"/>
      <x:c r="G766" s="12"/>
      <x:c r="H766" s="12"/>
      <x:c r="I766" s="12"/>
    </x:row>
    <x:row r="767">
      <x:c r="A767" s="12"/>
      <x:c r="B767" s="12"/>
      <x:c r="C767" s="12"/>
      <x:c r="D767" s="12"/>
      <x:c r="E767" s="18"/>
      <x:c r="F767" s="12"/>
      <x:c r="G767" s="12"/>
      <x:c r="H767" s="12"/>
      <x:c r="I767" s="12"/>
    </x:row>
    <x:row r="768">
      <x:c r="A768" s="12"/>
      <x:c r="B768" s="12"/>
      <x:c r="C768" s="12"/>
      <x:c r="D768" s="12"/>
      <x:c r="E768" s="18"/>
      <x:c r="F768" s="12"/>
      <x:c r="G768" s="12"/>
      <x:c r="H768" s="12"/>
      <x:c r="I768" s="12"/>
    </x:row>
    <x:row r="769">
      <x:c r="A769" s="12"/>
      <x:c r="B769" s="12"/>
      <x:c r="C769" s="12"/>
      <x:c r="D769" s="12"/>
      <x:c r="E769" s="18"/>
      <x:c r="F769" s="12"/>
      <x:c r="G769" s="12"/>
      <x:c r="H769" s="12"/>
      <x:c r="I769" s="12"/>
    </x:row>
    <x:row r="770">
      <x:c r="A770" s="12"/>
      <x:c r="B770" s="12"/>
      <x:c r="C770" s="12"/>
      <x:c r="D770" s="12"/>
      <x:c r="E770" s="18"/>
      <x:c r="F770" s="12"/>
      <x:c r="G770" s="12"/>
      <x:c r="H770" s="12"/>
      <x:c r="I770" s="12"/>
    </x:row>
    <x:row r="771">
      <x:c r="A771" s="12"/>
      <x:c r="B771" s="12"/>
      <x:c r="C771" s="12"/>
      <x:c r="D771" s="12"/>
      <x:c r="E771" s="18"/>
      <x:c r="F771" s="12"/>
      <x:c r="G771" s="12"/>
      <x:c r="H771" s="12"/>
      <x:c r="I771" s="12"/>
    </x:row>
    <x:row r="772">
      <x:c r="A772" s="12"/>
      <x:c r="B772" s="12"/>
      <x:c r="C772" s="12"/>
      <x:c r="D772" s="12"/>
      <x:c r="E772" s="18"/>
      <x:c r="F772" s="12"/>
      <x:c r="G772" s="12"/>
      <x:c r="H772" s="12"/>
      <x:c r="I772" s="12"/>
    </x:row>
    <x:row r="773">
      <x:c r="A773" s="12"/>
      <x:c r="B773" s="12"/>
      <x:c r="C773" s="12"/>
      <x:c r="D773" s="12"/>
      <x:c r="E773" s="18"/>
      <x:c r="F773" s="12"/>
      <x:c r="G773" s="12"/>
      <x:c r="H773" s="12"/>
      <x:c r="I773" s="12"/>
    </x:row>
    <x:row r="774">
      <x:c r="A774" s="12"/>
      <x:c r="B774" s="12"/>
      <x:c r="C774" s="12"/>
      <x:c r="D774" s="12"/>
      <x:c r="E774" s="18"/>
      <x:c r="F774" s="12"/>
      <x:c r="G774" s="12"/>
      <x:c r="H774" s="12"/>
      <x:c r="I774" s="12"/>
    </x:row>
    <x:row r="775">
      <x:c r="A775" s="12"/>
      <x:c r="B775" s="12"/>
      <x:c r="C775" s="12"/>
      <x:c r="D775" s="12"/>
      <x:c r="E775" s="18"/>
      <x:c r="F775" s="12"/>
      <x:c r="G775" s="12"/>
      <x:c r="H775" s="12"/>
      <x:c r="I775" s="12"/>
    </x:row>
    <x:row r="776">
      <x:c r="A776" s="12"/>
      <x:c r="B776" s="12"/>
      <x:c r="C776" s="12"/>
      <x:c r="D776" s="12"/>
      <x:c r="E776" s="18"/>
      <x:c r="F776" s="12"/>
      <x:c r="G776" s="12"/>
      <x:c r="H776" s="12"/>
      <x:c r="I776" s="12"/>
    </x:row>
    <x:row r="777">
      <x:c r="A777" s="12"/>
      <x:c r="B777" s="12"/>
      <x:c r="C777" s="12"/>
      <x:c r="D777" s="12"/>
      <x:c r="E777" s="18"/>
      <x:c r="F777" s="12"/>
      <x:c r="G777" s="12"/>
      <x:c r="H777" s="12"/>
      <x:c r="I777" s="12"/>
    </x:row>
    <x:row r="778">
      <x:c r="A778" s="12"/>
      <x:c r="B778" s="12"/>
      <x:c r="C778" s="12"/>
      <x:c r="D778" s="12"/>
      <x:c r="E778" s="18"/>
      <x:c r="F778" s="12"/>
      <x:c r="G778" s="12"/>
      <x:c r="H778" s="12"/>
      <x:c r="I778" s="12"/>
    </x:row>
    <x:row r="779">
      <x:c r="A779" s="12"/>
      <x:c r="B779" s="12"/>
      <x:c r="C779" s="12"/>
      <x:c r="D779" s="12"/>
      <x:c r="E779" s="18"/>
      <x:c r="F779" s="12"/>
      <x:c r="G779" s="12"/>
      <x:c r="H779" s="12"/>
      <x:c r="I779" s="12"/>
    </x:row>
    <x:row r="780">
      <x:c r="A780" s="12"/>
      <x:c r="B780" s="12"/>
      <x:c r="C780" s="12"/>
      <x:c r="D780" s="12"/>
      <x:c r="E780" s="18"/>
      <x:c r="F780" s="12"/>
      <x:c r="G780" s="12"/>
      <x:c r="H780" s="12"/>
      <x:c r="I780" s="12"/>
    </x:row>
    <x:row r="781">
      <x:c r="A781" s="12"/>
      <x:c r="B781" s="12"/>
      <x:c r="C781" s="12"/>
      <x:c r="D781" s="12"/>
      <x:c r="E781" s="18"/>
      <x:c r="F781" s="12"/>
      <x:c r="G781" s="12"/>
      <x:c r="H781" s="12"/>
      <x:c r="I781" s="12"/>
    </x:row>
    <x:row r="782">
      <x:c r="A782" s="12"/>
      <x:c r="B782" s="12"/>
      <x:c r="C782" s="12"/>
      <x:c r="D782" s="12"/>
      <x:c r="E782" s="18"/>
      <x:c r="F782" s="12"/>
      <x:c r="G782" s="12"/>
      <x:c r="H782" s="12"/>
      <x:c r="I782" s="12"/>
    </x:row>
    <x:row r="783">
      <x:c r="A783" s="12"/>
      <x:c r="B783" s="12"/>
      <x:c r="C783" s="12"/>
      <x:c r="D783" s="12"/>
      <x:c r="E783" s="18"/>
      <x:c r="F783" s="12"/>
      <x:c r="G783" s="12"/>
      <x:c r="H783" s="12"/>
      <x:c r="I783" s="12"/>
    </x:row>
    <x:row r="784">
      <x:c r="A784" s="12"/>
      <x:c r="B784" s="12"/>
      <x:c r="C784" s="12"/>
      <x:c r="D784" s="12"/>
      <x:c r="E784" s="18"/>
      <x:c r="F784" s="12"/>
      <x:c r="G784" s="12"/>
      <x:c r="H784" s="12"/>
      <x:c r="I784" s="12"/>
    </x:row>
    <x:row r="785">
      <x:c r="A785" s="12"/>
      <x:c r="B785" s="12"/>
      <x:c r="C785" s="12"/>
      <x:c r="D785" s="12"/>
      <x:c r="E785" s="18"/>
      <x:c r="F785" s="12"/>
      <x:c r="G785" s="12"/>
      <x:c r="H785" s="12"/>
      <x:c r="I785" s="12"/>
    </x:row>
    <x:row r="786">
      <x:c r="A786" s="12"/>
      <x:c r="B786" s="12"/>
      <x:c r="C786" s="12"/>
      <x:c r="D786" s="12"/>
      <x:c r="E786" s="18"/>
      <x:c r="F786" s="12"/>
      <x:c r="G786" s="12"/>
      <x:c r="H786" s="12"/>
      <x:c r="I786" s="12"/>
    </x:row>
    <x:row r="787">
      <x:c r="A787" s="12"/>
      <x:c r="B787" s="12"/>
      <x:c r="C787" s="12"/>
      <x:c r="D787" s="12"/>
      <x:c r="E787" s="18"/>
      <x:c r="F787" s="12"/>
      <x:c r="G787" s="12"/>
      <x:c r="H787" s="12"/>
      <x:c r="I787" s="12"/>
    </x:row>
    <x:row r="788">
      <x:c r="A788" s="12"/>
      <x:c r="B788" s="12"/>
      <x:c r="C788" s="12"/>
      <x:c r="D788" s="12"/>
      <x:c r="E788" s="18"/>
      <x:c r="F788" s="12"/>
      <x:c r="G788" s="12"/>
      <x:c r="H788" s="12"/>
      <x:c r="I788" s="12"/>
    </x:row>
    <x:row r="789">
      <x:c r="A789" s="12"/>
      <x:c r="B789" s="12"/>
      <x:c r="C789" s="12"/>
      <x:c r="D789" s="12"/>
      <x:c r="E789" s="18"/>
      <x:c r="F789" s="12"/>
      <x:c r="G789" s="12"/>
      <x:c r="H789" s="12"/>
      <x:c r="I789" s="12"/>
    </x:row>
    <x:row r="790">
      <x:c r="A790" s="12"/>
      <x:c r="B790" s="12"/>
      <x:c r="C790" s="12"/>
      <x:c r="D790" s="12"/>
      <x:c r="E790" s="18"/>
      <x:c r="F790" s="12"/>
      <x:c r="G790" s="12"/>
      <x:c r="H790" s="12"/>
      <x:c r="I790" s="12"/>
    </x:row>
    <x:row r="791">
      <x:c r="A791" s="12"/>
      <x:c r="B791" s="12"/>
      <x:c r="C791" s="12"/>
      <x:c r="D791" s="12"/>
      <x:c r="E791" s="18"/>
      <x:c r="F791" s="12"/>
      <x:c r="G791" s="12"/>
      <x:c r="H791" s="12"/>
      <x:c r="I791" s="12"/>
    </x:row>
    <x:row r="792">
      <x:c r="A792" s="12"/>
      <x:c r="B792" s="12"/>
      <x:c r="C792" s="12"/>
      <x:c r="D792" s="12"/>
      <x:c r="E792" s="18"/>
      <x:c r="F792" s="12"/>
      <x:c r="G792" s="12"/>
      <x:c r="H792" s="12"/>
      <x:c r="I792" s="12"/>
    </x:row>
    <x:row r="793">
      <x:c r="A793" s="12"/>
      <x:c r="B793" s="12"/>
      <x:c r="C793" s="12"/>
      <x:c r="D793" s="12"/>
      <x:c r="E793" s="18"/>
      <x:c r="F793" s="12"/>
      <x:c r="G793" s="12"/>
      <x:c r="H793" s="12"/>
      <x:c r="I793" s="12"/>
    </x:row>
    <x:row r="794">
      <x:c r="A794" s="12"/>
      <x:c r="B794" s="12"/>
      <x:c r="C794" s="12"/>
      <x:c r="D794" s="12"/>
      <x:c r="E794" s="18"/>
      <x:c r="F794" s="12"/>
      <x:c r="G794" s="12"/>
      <x:c r="H794" s="12"/>
      <x:c r="I794" s="12"/>
    </x:row>
    <x:row r="795">
      <x:c r="A795" s="12"/>
      <x:c r="B795" s="12"/>
      <x:c r="C795" s="12"/>
      <x:c r="D795" s="12"/>
      <x:c r="E795" s="18"/>
      <x:c r="F795" s="12"/>
      <x:c r="G795" s="12"/>
      <x:c r="H795" s="12"/>
      <x:c r="I795" s="12"/>
    </x:row>
    <x:row r="796">
      <x:c r="A796" s="12"/>
      <x:c r="B796" s="12"/>
      <x:c r="C796" s="12"/>
      <x:c r="D796" s="12"/>
      <x:c r="E796" s="18"/>
      <x:c r="F796" s="12"/>
      <x:c r="G796" s="12"/>
      <x:c r="H796" s="12"/>
      <x:c r="I796" s="12"/>
    </x:row>
    <x:row r="797">
      <x:c r="A797" s="12"/>
      <x:c r="B797" s="12"/>
      <x:c r="C797" s="12"/>
      <x:c r="D797" s="12"/>
      <x:c r="E797" s="18"/>
      <x:c r="F797" s="12"/>
      <x:c r="G797" s="12"/>
      <x:c r="H797" s="12"/>
      <x:c r="I797" s="12"/>
    </x:row>
    <x:row r="798">
      <x:c r="A798" s="12"/>
      <x:c r="B798" s="12"/>
      <x:c r="C798" s="12"/>
      <x:c r="D798" s="12"/>
      <x:c r="E798" s="18"/>
      <x:c r="F798" s="12"/>
      <x:c r="G798" s="12"/>
      <x:c r="H798" s="12"/>
      <x:c r="I798" s="12"/>
    </x:row>
    <x:row r="799">
      <x:c r="A799" s="12"/>
      <x:c r="B799" s="12"/>
      <x:c r="C799" s="12"/>
      <x:c r="D799" s="12"/>
      <x:c r="E799" s="18"/>
      <x:c r="F799" s="12"/>
      <x:c r="G799" s="12"/>
      <x:c r="H799" s="12"/>
      <x:c r="I799" s="12"/>
    </x:row>
    <x:row r="800">
      <x:c r="A800" s="12"/>
      <x:c r="B800" s="12"/>
      <x:c r="C800" s="12"/>
      <x:c r="D800" s="12"/>
      <x:c r="E800" s="18"/>
      <x:c r="F800" s="12"/>
      <x:c r="G800" s="12"/>
      <x:c r="H800" s="12"/>
      <x:c r="I800" s="12"/>
    </x:row>
    <x:row r="801">
      <x:c r="A801" s="12"/>
      <x:c r="B801" s="12"/>
      <x:c r="C801" s="12"/>
      <x:c r="D801" s="12"/>
      <x:c r="E801" s="18"/>
      <x:c r="F801" s="12"/>
      <x:c r="G801" s="12"/>
      <x:c r="H801" s="12"/>
      <x:c r="I801" s="12"/>
    </x:row>
    <x:row r="802">
      <x:c r="A802" s="12"/>
      <x:c r="B802" s="12"/>
      <x:c r="C802" s="12"/>
      <x:c r="D802" s="12"/>
      <x:c r="E802" s="18"/>
      <x:c r="F802" s="12"/>
      <x:c r="G802" s="12"/>
      <x:c r="H802" s="12"/>
      <x:c r="I802" s="12"/>
    </x:row>
    <x:row r="803">
      <x:c r="A803" s="12"/>
      <x:c r="B803" s="12"/>
      <x:c r="C803" s="12"/>
      <x:c r="D803" s="12"/>
      <x:c r="E803" s="18"/>
      <x:c r="F803" s="12"/>
      <x:c r="G803" s="12"/>
      <x:c r="H803" s="12"/>
      <x:c r="I803" s="12"/>
    </x:row>
    <x:row r="804">
      <x:c r="A804" s="12"/>
      <x:c r="B804" s="12"/>
      <x:c r="C804" s="12"/>
      <x:c r="D804" s="12"/>
      <x:c r="E804" s="18"/>
      <x:c r="F804" s="12"/>
      <x:c r="G804" s="12"/>
      <x:c r="H804" s="12"/>
      <x:c r="I804" s="12"/>
    </x:row>
    <x:row r="805">
      <x:c r="A805" s="12"/>
      <x:c r="B805" s="12"/>
      <x:c r="C805" s="12"/>
      <x:c r="D805" s="12"/>
      <x:c r="E805" s="18"/>
      <x:c r="F805" s="12"/>
      <x:c r="G805" s="12"/>
      <x:c r="H805" s="12"/>
      <x:c r="I805" s="12"/>
    </x:row>
    <x:row r="806">
      <x:c r="A806" s="12"/>
      <x:c r="B806" s="12"/>
      <x:c r="C806" s="12"/>
      <x:c r="D806" s="12"/>
      <x:c r="E806" s="18"/>
      <x:c r="F806" s="12"/>
      <x:c r="G806" s="12"/>
      <x:c r="H806" s="12"/>
      <x:c r="I806" s="12"/>
    </x:row>
    <x:row r="807">
      <x:c r="A807" s="12"/>
      <x:c r="B807" s="12"/>
      <x:c r="C807" s="12"/>
      <x:c r="D807" s="12"/>
      <x:c r="E807" s="18"/>
      <x:c r="F807" s="12"/>
      <x:c r="G807" s="12"/>
      <x:c r="H807" s="12"/>
      <x:c r="I807" s="12"/>
    </x:row>
    <x:row r="808">
      <x:c r="A808" s="12"/>
      <x:c r="B808" s="12"/>
      <x:c r="C808" s="12"/>
      <x:c r="D808" s="12"/>
      <x:c r="E808" s="18"/>
      <x:c r="F808" s="12"/>
      <x:c r="G808" s="12"/>
      <x:c r="H808" s="12"/>
      <x:c r="I808" s="12"/>
    </x:row>
    <x:row r="809">
      <x:c r="A809" s="12"/>
      <x:c r="B809" s="12"/>
      <x:c r="C809" s="12"/>
      <x:c r="D809" s="12"/>
      <x:c r="E809" s="18"/>
      <x:c r="F809" s="12"/>
      <x:c r="G809" s="12"/>
      <x:c r="H809" s="12"/>
      <x:c r="I809" s="12"/>
    </x:row>
    <x:row r="810">
      <x:c r="A810" s="12"/>
      <x:c r="B810" s="12"/>
      <x:c r="C810" s="12"/>
      <x:c r="D810" s="12"/>
      <x:c r="E810" s="18"/>
      <x:c r="F810" s="12"/>
      <x:c r="G810" s="12"/>
      <x:c r="H810" s="12"/>
      <x:c r="I810" s="12"/>
    </x:row>
    <x:row r="811">
      <x:c r="A811" s="12"/>
      <x:c r="B811" s="12"/>
      <x:c r="C811" s="12"/>
      <x:c r="D811" s="12"/>
      <x:c r="E811" s="18"/>
      <x:c r="F811" s="12"/>
      <x:c r="G811" s="12"/>
      <x:c r="H811" s="12"/>
      <x:c r="I811" s="12"/>
    </x:row>
    <x:row r="812">
      <x:c r="A812" s="12"/>
      <x:c r="B812" s="12"/>
      <x:c r="C812" s="12"/>
      <x:c r="D812" s="12"/>
      <x:c r="E812" s="18"/>
      <x:c r="F812" s="12"/>
      <x:c r="G812" s="12"/>
      <x:c r="H812" s="12"/>
      <x:c r="I812" s="12"/>
    </x:row>
    <x:row r="813">
      <x:c r="A813" s="12"/>
      <x:c r="B813" s="12"/>
      <x:c r="C813" s="12"/>
      <x:c r="D813" s="12"/>
      <x:c r="E813" s="18"/>
      <x:c r="F813" s="12"/>
      <x:c r="G813" s="12"/>
      <x:c r="H813" s="12"/>
      <x:c r="I813" s="12"/>
    </x:row>
    <x:row r="814">
      <x:c r="A814" s="12"/>
      <x:c r="B814" s="12"/>
      <x:c r="C814" s="12"/>
      <x:c r="D814" s="12"/>
      <x:c r="E814" s="18"/>
      <x:c r="F814" s="12"/>
      <x:c r="G814" s="12"/>
      <x:c r="H814" s="12"/>
      <x:c r="I814" s="12"/>
    </x:row>
    <x:row r="815">
      <x:c r="A815" s="12"/>
      <x:c r="B815" s="12"/>
      <x:c r="C815" s="12"/>
      <x:c r="D815" s="12"/>
      <x:c r="E815" s="18"/>
      <x:c r="F815" s="12"/>
      <x:c r="G815" s="12"/>
      <x:c r="H815" s="12"/>
      <x:c r="I815" s="12"/>
    </x:row>
    <x:row r="816">
      <x:c r="A816" s="12"/>
      <x:c r="B816" s="12"/>
      <x:c r="C816" s="12"/>
      <x:c r="D816" s="12"/>
      <x:c r="E816" s="18"/>
      <x:c r="F816" s="12"/>
      <x:c r="G816" s="12"/>
      <x:c r="H816" s="12"/>
      <x:c r="I816" s="12"/>
    </x:row>
    <x:row r="817">
      <x:c r="A817" s="12"/>
      <x:c r="B817" s="12"/>
      <x:c r="C817" s="12"/>
      <x:c r="D817" s="12"/>
      <x:c r="E817" s="18"/>
      <x:c r="F817" s="12"/>
      <x:c r="G817" s="12"/>
      <x:c r="H817" s="12"/>
      <x:c r="I817" s="12"/>
    </x:row>
    <x:row r="818">
      <x:c r="A818" s="12"/>
      <x:c r="B818" s="12"/>
      <x:c r="C818" s="12"/>
      <x:c r="D818" s="12"/>
      <x:c r="E818" s="18"/>
      <x:c r="F818" s="12"/>
      <x:c r="G818" s="12"/>
      <x:c r="H818" s="12"/>
      <x:c r="I818" s="12"/>
    </x:row>
    <x:row r="819">
      <x:c r="A819" s="12"/>
      <x:c r="B819" s="12"/>
      <x:c r="C819" s="12"/>
      <x:c r="D819" s="12"/>
      <x:c r="E819" s="18"/>
      <x:c r="F819" s="12"/>
      <x:c r="G819" s="12"/>
      <x:c r="H819" s="12"/>
      <x:c r="I819" s="12"/>
    </x:row>
    <x:row r="820">
      <x:c r="A820" s="12"/>
      <x:c r="B820" s="12"/>
      <x:c r="C820" s="12"/>
      <x:c r="D820" s="12"/>
      <x:c r="E820" s="18"/>
      <x:c r="F820" s="12"/>
      <x:c r="G820" s="12"/>
      <x:c r="H820" s="12"/>
      <x:c r="I820" s="12"/>
    </x:row>
    <x:row r="821">
      <x:c r="A821" s="12"/>
      <x:c r="B821" s="12"/>
      <x:c r="C821" s="12"/>
      <x:c r="D821" s="12"/>
      <x:c r="E821" s="18"/>
      <x:c r="F821" s="12"/>
      <x:c r="G821" s="12"/>
      <x:c r="H821" s="12"/>
      <x:c r="I821" s="12"/>
    </x:row>
    <x:row r="822">
      <x:c r="A822" s="12"/>
      <x:c r="B822" s="12"/>
      <x:c r="C822" s="12"/>
      <x:c r="D822" s="12"/>
      <x:c r="E822" s="18"/>
      <x:c r="F822" s="12"/>
      <x:c r="G822" s="12"/>
      <x:c r="H822" s="12"/>
      <x:c r="I822" s="12"/>
    </x:row>
    <x:row r="823">
      <x:c r="A823" s="12"/>
      <x:c r="B823" s="12"/>
      <x:c r="C823" s="12"/>
      <x:c r="D823" s="12"/>
      <x:c r="E823" s="18"/>
      <x:c r="F823" s="12"/>
      <x:c r="G823" s="12"/>
      <x:c r="H823" s="12"/>
      <x:c r="I823" s="12"/>
    </x:row>
    <x:row r="824">
      <x:c r="A824" s="12"/>
      <x:c r="B824" s="12"/>
      <x:c r="C824" s="12"/>
      <x:c r="D824" s="12"/>
      <x:c r="E824" s="18"/>
      <x:c r="F824" s="12"/>
      <x:c r="G824" s="12"/>
      <x:c r="H824" s="12"/>
      <x:c r="I824" s="12"/>
    </x:row>
    <x:row r="825">
      <x:c r="A825" s="12"/>
      <x:c r="B825" s="12"/>
      <x:c r="C825" s="12"/>
      <x:c r="D825" s="12"/>
      <x:c r="E825" s="18"/>
      <x:c r="F825" s="12"/>
      <x:c r="G825" s="12"/>
      <x:c r="H825" s="12"/>
      <x:c r="I825" s="12"/>
    </x:row>
    <x:row r="826">
      <x:c r="A826" s="12"/>
      <x:c r="B826" s="12"/>
      <x:c r="C826" s="12"/>
      <x:c r="D826" s="12"/>
      <x:c r="E826" s="18"/>
      <x:c r="F826" s="12"/>
      <x:c r="G826" s="12"/>
      <x:c r="H826" s="12"/>
      <x:c r="I826" s="12"/>
    </x:row>
    <x:row r="827">
      <x:c r="A827" s="12"/>
      <x:c r="B827" s="12"/>
      <x:c r="C827" s="12"/>
      <x:c r="D827" s="12"/>
      <x:c r="E827" s="18"/>
      <x:c r="F827" s="12"/>
      <x:c r="G827" s="12"/>
      <x:c r="H827" s="12"/>
      <x:c r="I827" s="12"/>
    </x:row>
    <x:row r="828">
      <x:c r="A828" s="12"/>
      <x:c r="B828" s="12"/>
      <x:c r="C828" s="12"/>
      <x:c r="D828" s="12"/>
      <x:c r="E828" s="18"/>
      <x:c r="F828" s="12"/>
      <x:c r="G828" s="12"/>
      <x:c r="H828" s="12"/>
      <x:c r="I828" s="12"/>
    </x:row>
    <x:row r="829">
      <x:c r="A829" s="12"/>
      <x:c r="B829" s="12"/>
      <x:c r="C829" s="12"/>
      <x:c r="D829" s="12"/>
      <x:c r="E829" s="18"/>
      <x:c r="F829" s="12"/>
      <x:c r="G829" s="12"/>
      <x:c r="H829" s="12"/>
      <x:c r="I829" s="12"/>
    </x:row>
    <x:row r="830">
      <x:c r="A830" s="12"/>
      <x:c r="B830" s="12"/>
      <x:c r="C830" s="12"/>
      <x:c r="D830" s="12"/>
      <x:c r="E830" s="18"/>
      <x:c r="F830" s="12"/>
      <x:c r="G830" s="12"/>
      <x:c r="H830" s="12"/>
      <x:c r="I830" s="12"/>
    </x:row>
    <x:row r="831">
      <x:c r="A831" s="12"/>
      <x:c r="B831" s="12"/>
      <x:c r="C831" s="12"/>
      <x:c r="D831" s="12"/>
      <x:c r="E831" s="18"/>
      <x:c r="F831" s="12"/>
      <x:c r="G831" s="12"/>
      <x:c r="H831" s="12"/>
      <x:c r="I831" s="12"/>
    </x:row>
    <x:row r="832">
      <x:c r="A832" s="12"/>
      <x:c r="B832" s="12"/>
      <x:c r="C832" s="12"/>
      <x:c r="D832" s="12"/>
      <x:c r="E832" s="18"/>
      <x:c r="F832" s="12"/>
      <x:c r="G832" s="12"/>
      <x:c r="H832" s="12"/>
      <x:c r="I832" s="12"/>
    </x:row>
    <x:row r="833">
      <x:c r="A833" s="12"/>
      <x:c r="B833" s="12"/>
      <x:c r="C833" s="12"/>
      <x:c r="D833" s="12"/>
      <x:c r="E833" s="18"/>
      <x:c r="F833" s="12"/>
      <x:c r="G833" s="12"/>
      <x:c r="H833" s="12"/>
      <x:c r="I833" s="12"/>
    </x:row>
    <x:row r="834">
      <x:c r="A834" s="12"/>
      <x:c r="B834" s="12"/>
      <x:c r="C834" s="12"/>
      <x:c r="D834" s="12"/>
      <x:c r="E834" s="18"/>
      <x:c r="F834" s="12"/>
      <x:c r="G834" s="12"/>
      <x:c r="H834" s="12"/>
      <x:c r="I834" s="12"/>
    </x:row>
    <x:row r="835">
      <x:c r="A835" s="12"/>
      <x:c r="B835" s="12"/>
      <x:c r="C835" s="12"/>
      <x:c r="D835" s="12"/>
      <x:c r="E835" s="18"/>
      <x:c r="F835" s="12"/>
      <x:c r="G835" s="12"/>
      <x:c r="H835" s="12"/>
      <x:c r="I835" s="12"/>
    </x:row>
    <x:row r="836">
      <x:c r="A836" s="12"/>
      <x:c r="B836" s="12"/>
      <x:c r="C836" s="12"/>
      <x:c r="D836" s="12"/>
      <x:c r="E836" s="18"/>
      <x:c r="F836" s="12"/>
      <x:c r="G836" s="12"/>
      <x:c r="H836" s="12"/>
      <x:c r="I836" s="12"/>
    </x:row>
    <x:row r="837">
      <x:c r="A837" s="12"/>
      <x:c r="B837" s="12"/>
      <x:c r="C837" s="12"/>
      <x:c r="D837" s="12"/>
      <x:c r="E837" s="18"/>
      <x:c r="F837" s="12"/>
      <x:c r="G837" s="12"/>
      <x:c r="H837" s="12"/>
      <x:c r="I837" s="12"/>
    </x:row>
    <x:row r="838">
      <x:c r="A838" s="12"/>
      <x:c r="B838" s="12"/>
      <x:c r="C838" s="12"/>
      <x:c r="D838" s="12"/>
      <x:c r="E838" s="18"/>
      <x:c r="F838" s="12"/>
      <x:c r="G838" s="12"/>
      <x:c r="H838" s="12"/>
      <x:c r="I838" s="12"/>
    </x:row>
    <x:row r="839">
      <x:c r="A839" s="12"/>
      <x:c r="B839" s="12"/>
      <x:c r="C839" s="12"/>
      <x:c r="D839" s="12"/>
      <x:c r="E839" s="18"/>
      <x:c r="F839" s="12"/>
      <x:c r="G839" s="12"/>
      <x:c r="H839" s="12"/>
      <x:c r="I839" s="12"/>
    </x:row>
    <x:row r="840">
      <x:c r="A840" s="12"/>
      <x:c r="B840" s="12"/>
      <x:c r="C840" s="12"/>
      <x:c r="D840" s="12"/>
      <x:c r="E840" s="18"/>
      <x:c r="F840" s="12"/>
      <x:c r="G840" s="12"/>
      <x:c r="H840" s="12"/>
      <x:c r="I840" s="12"/>
    </x:row>
    <x:row r="841">
      <x:c r="A841" s="12"/>
      <x:c r="B841" s="12"/>
      <x:c r="C841" s="12"/>
      <x:c r="D841" s="12"/>
      <x:c r="E841" s="18"/>
      <x:c r="F841" s="12"/>
      <x:c r="G841" s="12"/>
      <x:c r="H841" s="12"/>
      <x:c r="I841" s="12"/>
    </x:row>
    <x:row r="842">
      <x:c r="A842" s="12"/>
      <x:c r="B842" s="12"/>
      <x:c r="C842" s="12"/>
      <x:c r="D842" s="12"/>
      <x:c r="E842" s="18"/>
      <x:c r="F842" s="12"/>
      <x:c r="G842" s="12"/>
      <x:c r="H842" s="12"/>
      <x:c r="I842" s="12"/>
    </x:row>
    <x:row r="843">
      <x:c r="A843" s="12"/>
      <x:c r="B843" s="12"/>
      <x:c r="C843" s="12"/>
      <x:c r="D843" s="12"/>
      <x:c r="E843" s="18"/>
      <x:c r="F843" s="12"/>
      <x:c r="G843" s="12"/>
      <x:c r="H843" s="12"/>
      <x:c r="I843" s="12"/>
    </x:row>
    <x:row r="844">
      <x:c r="A844" s="12"/>
      <x:c r="B844" s="12"/>
      <x:c r="C844" s="12"/>
      <x:c r="D844" s="12"/>
      <x:c r="E844" s="18"/>
      <x:c r="F844" s="12"/>
      <x:c r="G844" s="12"/>
      <x:c r="H844" s="12"/>
      <x:c r="I844" s="12"/>
    </x:row>
    <x:row r="845">
      <x:c r="A845" s="12"/>
      <x:c r="B845" s="12"/>
      <x:c r="C845" s="12"/>
      <x:c r="D845" s="12"/>
      <x:c r="E845" s="18"/>
      <x:c r="F845" s="12"/>
      <x:c r="G845" s="12"/>
      <x:c r="H845" s="12"/>
      <x:c r="I845" s="12"/>
    </x:row>
    <x:row r="846">
      <x:c r="A846" s="12"/>
      <x:c r="B846" s="12"/>
      <x:c r="C846" s="12"/>
      <x:c r="D846" s="12"/>
      <x:c r="E846" s="18"/>
      <x:c r="F846" s="12"/>
      <x:c r="G846" s="12"/>
      <x:c r="H846" s="12"/>
      <x:c r="I846" s="12"/>
    </x:row>
    <x:row r="847">
      <x:c r="A847" s="12"/>
      <x:c r="B847" s="12"/>
      <x:c r="C847" s="12"/>
      <x:c r="D847" s="12"/>
      <x:c r="E847" s="18"/>
      <x:c r="F847" s="12"/>
      <x:c r="G847" s="12"/>
      <x:c r="H847" s="12"/>
      <x:c r="I847" s="12"/>
    </x:row>
    <x:row r="848">
      <x:c r="A848" s="12"/>
      <x:c r="B848" s="12"/>
      <x:c r="C848" s="12"/>
      <x:c r="D848" s="12"/>
      <x:c r="E848" s="18"/>
      <x:c r="F848" s="12"/>
      <x:c r="G848" s="12"/>
      <x:c r="H848" s="12"/>
      <x:c r="I848" s="12"/>
    </x:row>
    <x:row r="849">
      <x:c r="A849" s="12"/>
      <x:c r="B849" s="12"/>
      <x:c r="C849" s="12"/>
      <x:c r="D849" s="12"/>
      <x:c r="E849" s="18"/>
      <x:c r="F849" s="12"/>
      <x:c r="G849" s="12"/>
      <x:c r="H849" s="12"/>
      <x:c r="I849" s="12"/>
    </x:row>
    <x:row r="850">
      <x:c r="A850" s="12"/>
      <x:c r="B850" s="12"/>
      <x:c r="C850" s="12"/>
      <x:c r="D850" s="12"/>
      <x:c r="E850" s="18"/>
      <x:c r="F850" s="12"/>
      <x:c r="G850" s="12"/>
      <x:c r="H850" s="12"/>
      <x:c r="I850" s="12"/>
    </x:row>
    <x:row r="851">
      <x:c r="A851" s="12"/>
      <x:c r="B851" s="12"/>
      <x:c r="C851" s="12"/>
      <x:c r="D851" s="12"/>
      <x:c r="E851" s="18"/>
      <x:c r="F851" s="12"/>
      <x:c r="G851" s="12"/>
      <x:c r="H851" s="12"/>
      <x:c r="I851" s="12"/>
    </x:row>
    <x:row r="852">
      <x:c r="A852" s="12"/>
      <x:c r="B852" s="12"/>
      <x:c r="C852" s="12"/>
      <x:c r="D852" s="12"/>
      <x:c r="E852" s="18"/>
      <x:c r="F852" s="12"/>
      <x:c r="G852" s="12"/>
      <x:c r="H852" s="12"/>
      <x:c r="I852" s="12"/>
    </x:row>
    <x:row r="853">
      <x:c r="A853" s="12"/>
      <x:c r="B853" s="12"/>
      <x:c r="C853" s="12"/>
      <x:c r="D853" s="12"/>
      <x:c r="E853" s="18"/>
      <x:c r="F853" s="12"/>
      <x:c r="G853" s="12"/>
      <x:c r="H853" s="12"/>
      <x:c r="I853" s="12"/>
    </x:row>
    <x:row r="854">
      <x:c r="A854" s="12"/>
      <x:c r="B854" s="12"/>
      <x:c r="C854" s="12"/>
      <x:c r="D854" s="12"/>
      <x:c r="E854" s="18"/>
      <x:c r="F854" s="12"/>
      <x:c r="G854" s="12"/>
      <x:c r="H854" s="12"/>
      <x:c r="I854" s="12"/>
    </x:row>
    <x:row r="855">
      <x:c r="A855" s="12"/>
      <x:c r="B855" s="12"/>
      <x:c r="C855" s="12"/>
      <x:c r="D855" s="12"/>
      <x:c r="E855" s="18"/>
      <x:c r="F855" s="12"/>
      <x:c r="G855" s="12"/>
      <x:c r="H855" s="12"/>
      <x:c r="I855" s="12"/>
    </x:row>
    <x:row r="856">
      <x:c r="A856" s="12"/>
      <x:c r="B856" s="12"/>
      <x:c r="C856" s="12"/>
      <x:c r="D856" s="12"/>
      <x:c r="E856" s="18"/>
      <x:c r="F856" s="12"/>
      <x:c r="G856" s="12"/>
      <x:c r="H856" s="12"/>
      <x:c r="I856" s="12"/>
    </x:row>
    <x:row r="857">
      <x:c r="A857" s="12"/>
      <x:c r="B857" s="12"/>
      <x:c r="C857" s="12"/>
      <x:c r="D857" s="12"/>
      <x:c r="E857" s="18"/>
      <x:c r="F857" s="12"/>
      <x:c r="G857" s="12"/>
      <x:c r="H857" s="12"/>
      <x:c r="I857" s="12"/>
    </x:row>
    <x:row r="858">
      <x:c r="A858" s="12"/>
      <x:c r="B858" s="12"/>
      <x:c r="C858" s="12"/>
      <x:c r="D858" s="12"/>
      <x:c r="E858" s="18"/>
      <x:c r="F858" s="12"/>
      <x:c r="G858" s="12"/>
      <x:c r="H858" s="12"/>
      <x:c r="I858" s="12"/>
    </x:row>
    <x:row r="859">
      <x:c r="A859" s="12"/>
      <x:c r="B859" s="12"/>
      <x:c r="C859" s="12"/>
      <x:c r="D859" s="12"/>
      <x:c r="E859" s="18"/>
      <x:c r="F859" s="12"/>
      <x:c r="G859" s="12"/>
      <x:c r="H859" s="12"/>
      <x:c r="I859" s="12"/>
    </x:row>
    <x:row r="860">
      <x:c r="A860" s="12"/>
      <x:c r="B860" s="12"/>
      <x:c r="C860" s="12"/>
      <x:c r="D860" s="12"/>
      <x:c r="E860" s="18"/>
      <x:c r="F860" s="12"/>
      <x:c r="G860" s="12"/>
      <x:c r="H860" s="12"/>
      <x:c r="I860" s="12"/>
    </x:row>
    <x:row r="861">
      <x:c r="A861" s="12"/>
      <x:c r="B861" s="12"/>
      <x:c r="C861" s="12"/>
      <x:c r="D861" s="12"/>
      <x:c r="E861" s="18"/>
      <x:c r="F861" s="12"/>
      <x:c r="G861" s="12"/>
      <x:c r="H861" s="12"/>
      <x:c r="I861" s="12"/>
    </x:row>
    <x:row r="862">
      <x:c r="A862" s="12"/>
      <x:c r="B862" s="12"/>
      <x:c r="C862" s="12"/>
      <x:c r="D862" s="12"/>
      <x:c r="E862" s="18"/>
      <x:c r="F862" s="12"/>
      <x:c r="G862" s="12"/>
      <x:c r="H862" s="12"/>
      <x:c r="I862" s="12"/>
    </x:row>
    <x:row r="863">
      <x:c r="A863" s="12"/>
      <x:c r="B863" s="12"/>
      <x:c r="C863" s="12"/>
      <x:c r="D863" s="12"/>
      <x:c r="E863" s="18"/>
      <x:c r="F863" s="12"/>
      <x:c r="G863" s="12"/>
      <x:c r="H863" s="12"/>
      <x:c r="I863" s="12"/>
    </x:row>
    <x:row r="864">
      <x:c r="A864" s="12"/>
      <x:c r="B864" s="12"/>
      <x:c r="C864" s="12"/>
      <x:c r="D864" s="12"/>
      <x:c r="E864" s="18"/>
      <x:c r="F864" s="12"/>
      <x:c r="G864" s="12"/>
      <x:c r="H864" s="12"/>
      <x:c r="I864" s="12"/>
    </x:row>
    <x:row r="865">
      <x:c r="A865" s="12"/>
      <x:c r="B865" s="12"/>
      <x:c r="C865" s="12"/>
      <x:c r="D865" s="12"/>
      <x:c r="E865" s="18"/>
      <x:c r="F865" s="12"/>
      <x:c r="G865" s="12"/>
      <x:c r="H865" s="12"/>
      <x:c r="I865" s="12"/>
    </x:row>
    <x:row r="866">
      <x:c r="A866" s="12"/>
      <x:c r="B866" s="12"/>
      <x:c r="C866" s="12"/>
      <x:c r="D866" s="12"/>
      <x:c r="E866" s="18"/>
      <x:c r="F866" s="12"/>
      <x:c r="G866" s="12"/>
      <x:c r="H866" s="12"/>
      <x:c r="I866" s="12"/>
    </x:row>
    <x:row r="867">
      <x:c r="A867" s="12"/>
      <x:c r="B867" s="12"/>
      <x:c r="C867" s="12"/>
      <x:c r="D867" s="12"/>
      <x:c r="E867" s="18"/>
      <x:c r="F867" s="12"/>
      <x:c r="G867" s="12"/>
      <x:c r="H867" s="12"/>
      <x:c r="I867" s="12"/>
    </x:row>
    <x:row r="868">
      <x:c r="A868" s="12"/>
      <x:c r="B868" s="12"/>
      <x:c r="C868" s="12"/>
      <x:c r="D868" s="12"/>
      <x:c r="E868" s="18"/>
      <x:c r="F868" s="12"/>
      <x:c r="G868" s="12"/>
      <x:c r="H868" s="12"/>
      <x:c r="I868" s="12"/>
    </x:row>
    <x:row r="869">
      <x:c r="A869" s="12"/>
      <x:c r="B869" s="12"/>
      <x:c r="C869" s="12"/>
      <x:c r="D869" s="12"/>
      <x:c r="E869" s="18"/>
      <x:c r="F869" s="12"/>
      <x:c r="G869" s="12"/>
      <x:c r="H869" s="12"/>
      <x:c r="I869" s="12"/>
    </x:row>
    <x:row r="870">
      <x:c r="A870" s="12"/>
      <x:c r="B870" s="12"/>
      <x:c r="C870" s="12"/>
      <x:c r="D870" s="12"/>
      <x:c r="E870" s="18"/>
      <x:c r="F870" s="12"/>
      <x:c r="G870" s="12"/>
      <x:c r="H870" s="12"/>
      <x:c r="I870" s="12"/>
    </x:row>
    <x:row r="871">
      <x:c r="A871" s="12"/>
      <x:c r="B871" s="12"/>
      <x:c r="C871" s="12"/>
      <x:c r="D871" s="12"/>
      <x:c r="E871" s="18"/>
      <x:c r="F871" s="12"/>
      <x:c r="G871" s="12"/>
      <x:c r="H871" s="12"/>
      <x:c r="I871" s="12"/>
    </x:row>
    <x:row r="872">
      <x:c r="A872" s="12"/>
      <x:c r="B872" s="12"/>
      <x:c r="C872" s="12"/>
      <x:c r="D872" s="12"/>
      <x:c r="E872" s="18"/>
      <x:c r="F872" s="12"/>
      <x:c r="G872" s="12"/>
      <x:c r="H872" s="12"/>
      <x:c r="I872" s="12"/>
    </x:row>
    <x:row r="873">
      <x:c r="A873" s="12"/>
      <x:c r="B873" s="12"/>
      <x:c r="C873" s="12"/>
      <x:c r="D873" s="12"/>
      <x:c r="E873" s="18"/>
      <x:c r="F873" s="12"/>
      <x:c r="G873" s="12"/>
      <x:c r="H873" s="12"/>
      <x:c r="I873" s="12"/>
    </x:row>
    <x:row r="874">
      <x:c r="A874" s="12"/>
      <x:c r="B874" s="12"/>
      <x:c r="C874" s="12"/>
      <x:c r="D874" s="12"/>
      <x:c r="E874" s="18"/>
      <x:c r="F874" s="12"/>
      <x:c r="G874" s="12"/>
      <x:c r="H874" s="12"/>
      <x:c r="I874" s="12"/>
    </x:row>
    <x:row r="875">
      <x:c r="A875" s="12"/>
      <x:c r="B875" s="12"/>
      <x:c r="C875" s="12"/>
      <x:c r="D875" s="12"/>
      <x:c r="E875" s="18"/>
      <x:c r="F875" s="12"/>
      <x:c r="G875" s="12"/>
      <x:c r="H875" s="12"/>
      <x:c r="I875" s="12"/>
    </x:row>
    <x:row r="876">
      <x:c r="A876" s="12"/>
      <x:c r="B876" s="12"/>
      <x:c r="C876" s="12"/>
      <x:c r="D876" s="12"/>
      <x:c r="E876" s="18"/>
      <x:c r="F876" s="12"/>
      <x:c r="G876" s="12"/>
      <x:c r="H876" s="12"/>
      <x:c r="I876" s="12"/>
    </x:row>
    <x:row r="877">
      <x:c r="A877" s="12"/>
      <x:c r="B877" s="12"/>
      <x:c r="C877" s="12"/>
      <x:c r="D877" s="12"/>
      <x:c r="E877" s="18"/>
      <x:c r="F877" s="12"/>
      <x:c r="G877" s="12"/>
      <x:c r="H877" s="12"/>
      <x:c r="I877" s="12"/>
    </x:row>
    <x:row r="878">
      <x:c r="A878" s="12"/>
      <x:c r="B878" s="12"/>
      <x:c r="C878" s="12"/>
      <x:c r="D878" s="12"/>
      <x:c r="E878" s="18"/>
      <x:c r="F878" s="12"/>
      <x:c r="G878" s="12"/>
      <x:c r="H878" s="12"/>
      <x:c r="I878" s="12"/>
    </x:row>
    <x:row r="879">
      <x:c r="A879" s="12"/>
      <x:c r="B879" s="12"/>
      <x:c r="C879" s="12"/>
      <x:c r="D879" s="12"/>
      <x:c r="E879" s="18"/>
      <x:c r="F879" s="12"/>
      <x:c r="G879" s="12"/>
      <x:c r="H879" s="12"/>
      <x:c r="I879" s="12"/>
    </x:row>
    <x:row r="880">
      <x:c r="A880" s="12"/>
      <x:c r="B880" s="12"/>
      <x:c r="C880" s="12"/>
      <x:c r="D880" s="12"/>
      <x:c r="E880" s="18"/>
      <x:c r="F880" s="12"/>
      <x:c r="G880" s="12"/>
      <x:c r="H880" s="12"/>
      <x:c r="I880" s="12"/>
    </x:row>
    <x:row r="881">
      <x:c r="A881" s="12"/>
      <x:c r="B881" s="12"/>
      <x:c r="C881" s="12"/>
      <x:c r="D881" s="12"/>
      <x:c r="E881" s="18"/>
      <x:c r="F881" s="12"/>
      <x:c r="G881" s="12"/>
      <x:c r="H881" s="12"/>
      <x:c r="I881" s="12"/>
    </x:row>
    <x:row r="882">
      <x:c r="A882" s="12"/>
      <x:c r="B882" s="12"/>
      <x:c r="C882" s="12"/>
      <x:c r="D882" s="12"/>
      <x:c r="E882" s="18"/>
      <x:c r="F882" s="12"/>
      <x:c r="G882" s="12"/>
      <x:c r="H882" s="12"/>
      <x:c r="I882" s="12"/>
    </x:row>
    <x:row r="883">
      <x:c r="A883" s="12"/>
      <x:c r="B883" s="12"/>
      <x:c r="C883" s="12"/>
      <x:c r="D883" s="12"/>
      <x:c r="E883" s="18"/>
      <x:c r="F883" s="12"/>
      <x:c r="G883" s="12"/>
      <x:c r="H883" s="12"/>
      <x:c r="I883" s="12"/>
    </x:row>
    <x:row r="884">
      <x:c r="A884" s="12"/>
      <x:c r="B884" s="12"/>
      <x:c r="C884" s="12"/>
      <x:c r="D884" s="12"/>
      <x:c r="E884" s="18"/>
      <x:c r="F884" s="12"/>
      <x:c r="G884" s="12"/>
      <x:c r="H884" s="12"/>
      <x:c r="I884" s="12"/>
    </x:row>
    <x:row r="885">
      <x:c r="A885" s="12"/>
      <x:c r="B885" s="12"/>
      <x:c r="C885" s="12"/>
      <x:c r="D885" s="12"/>
      <x:c r="E885" s="18"/>
      <x:c r="F885" s="12"/>
      <x:c r="G885" s="12"/>
      <x:c r="H885" s="12"/>
      <x:c r="I885" s="12"/>
    </x:row>
    <x:row r="886">
      <x:c r="A886" s="12"/>
      <x:c r="B886" s="12"/>
      <x:c r="C886" s="12"/>
      <x:c r="D886" s="12"/>
      <x:c r="E886" s="18"/>
      <x:c r="F886" s="12"/>
      <x:c r="G886" s="12"/>
      <x:c r="H886" s="12"/>
      <x:c r="I886" s="12"/>
    </x:row>
    <x:row r="887">
      <x:c r="A887" s="12"/>
      <x:c r="B887" s="12"/>
      <x:c r="C887" s="12"/>
      <x:c r="D887" s="12"/>
      <x:c r="E887" s="18"/>
      <x:c r="F887" s="12"/>
      <x:c r="G887" s="12"/>
      <x:c r="H887" s="12"/>
      <x:c r="I887" s="12"/>
    </x:row>
    <x:row r="888">
      <x:c r="A888" s="12"/>
      <x:c r="B888" s="12"/>
      <x:c r="C888" s="12"/>
      <x:c r="D888" s="12"/>
      <x:c r="E888" s="18"/>
      <x:c r="F888" s="12"/>
      <x:c r="G888" s="12"/>
      <x:c r="H888" s="12"/>
      <x:c r="I888" s="12"/>
    </x:row>
    <x:row r="889">
      <x:c r="A889" s="12"/>
      <x:c r="B889" s="12"/>
      <x:c r="C889" s="12"/>
      <x:c r="D889" s="12"/>
      <x:c r="E889" s="18"/>
      <x:c r="F889" s="12"/>
      <x:c r="G889" s="12"/>
      <x:c r="H889" s="12"/>
      <x:c r="I889" s="12"/>
    </x:row>
    <x:row r="890">
      <x:c r="A890" s="12"/>
      <x:c r="B890" s="12"/>
      <x:c r="C890" s="12"/>
      <x:c r="D890" s="12"/>
      <x:c r="E890" s="18"/>
      <x:c r="F890" s="12"/>
      <x:c r="G890" s="12"/>
      <x:c r="H890" s="12"/>
      <x:c r="I890" s="12"/>
    </x:row>
    <x:row r="891">
      <x:c r="A891" s="12"/>
      <x:c r="B891" s="12"/>
      <x:c r="C891" s="12"/>
      <x:c r="D891" s="12"/>
      <x:c r="E891" s="18"/>
      <x:c r="F891" s="12"/>
      <x:c r="G891" s="12"/>
      <x:c r="H891" s="12"/>
      <x:c r="I891" s="12"/>
    </x:row>
    <x:row r="892">
      <x:c r="A892" s="12"/>
      <x:c r="B892" s="12"/>
      <x:c r="C892" s="12"/>
      <x:c r="D892" s="12"/>
      <x:c r="E892" s="18"/>
      <x:c r="F892" s="12"/>
      <x:c r="G892" s="12"/>
      <x:c r="H892" s="12"/>
      <x:c r="I892" s="12"/>
    </x:row>
    <x:row r="893">
      <x:c r="A893" s="12"/>
      <x:c r="B893" s="12"/>
      <x:c r="C893" s="12"/>
      <x:c r="D893" s="12"/>
      <x:c r="E893" s="18"/>
      <x:c r="F893" s="12"/>
      <x:c r="G893" s="12"/>
      <x:c r="H893" s="12"/>
      <x:c r="I893" s="12"/>
    </x:row>
    <x:row r="894">
      <x:c r="A894" s="12"/>
      <x:c r="B894" s="12"/>
      <x:c r="C894" s="12"/>
      <x:c r="D894" s="12"/>
      <x:c r="E894" s="18"/>
      <x:c r="F894" s="12"/>
      <x:c r="G894" s="12"/>
      <x:c r="H894" s="12"/>
      <x:c r="I894" s="12"/>
    </x:row>
    <x:row r="895">
      <x:c r="A895" s="12"/>
      <x:c r="B895" s="12"/>
      <x:c r="C895" s="12"/>
      <x:c r="D895" s="12"/>
      <x:c r="E895" s="18"/>
      <x:c r="F895" s="12"/>
      <x:c r="G895" s="12"/>
      <x:c r="H895" s="12"/>
      <x:c r="I895" s="12"/>
    </x:row>
    <x:row r="896">
      <x:c r="A896" s="12"/>
      <x:c r="B896" s="12"/>
      <x:c r="C896" s="12"/>
      <x:c r="D896" s="12"/>
      <x:c r="E896" s="18"/>
      <x:c r="F896" s="12"/>
      <x:c r="G896" s="12"/>
      <x:c r="H896" s="12"/>
      <x:c r="I896" s="12"/>
    </x:row>
    <x:row r="897">
      <x:c r="A897" s="12"/>
      <x:c r="B897" s="12"/>
      <x:c r="C897" s="12"/>
      <x:c r="D897" s="12"/>
      <x:c r="E897" s="18"/>
      <x:c r="F897" s="12"/>
      <x:c r="G897" s="12"/>
      <x:c r="H897" s="12"/>
      <x:c r="I897" s="12"/>
    </x:row>
    <x:row r="898">
      <x:c r="A898" s="12"/>
      <x:c r="B898" s="12"/>
      <x:c r="C898" s="12"/>
      <x:c r="D898" s="12"/>
      <x:c r="E898" s="18"/>
      <x:c r="F898" s="12"/>
      <x:c r="G898" s="12"/>
      <x:c r="H898" s="12"/>
      <x:c r="I898" s="12"/>
    </x:row>
    <x:row r="899">
      <x:c r="A899" s="12"/>
      <x:c r="B899" s="12"/>
      <x:c r="C899" s="12"/>
      <x:c r="D899" s="12"/>
      <x:c r="E899" s="18"/>
      <x:c r="F899" s="12"/>
      <x:c r="G899" s="12"/>
      <x:c r="H899" s="12"/>
      <x:c r="I899" s="12"/>
    </x:row>
    <x:row r="900">
      <x:c r="A900" s="12"/>
      <x:c r="B900" s="12"/>
      <x:c r="C900" s="12"/>
      <x:c r="D900" s="12"/>
      <x:c r="E900" s="18"/>
      <x:c r="F900" s="12"/>
      <x:c r="G900" s="12"/>
      <x:c r="H900" s="12"/>
      <x:c r="I900" s="12"/>
    </x:row>
    <x:row r="901">
      <x:c r="A901" s="12"/>
      <x:c r="B901" s="12"/>
      <x:c r="C901" s="12"/>
      <x:c r="D901" s="12"/>
      <x:c r="E901" s="18"/>
      <x:c r="F901" s="12"/>
      <x:c r="G901" s="12"/>
      <x:c r="H901" s="12"/>
      <x:c r="I901" s="12"/>
    </x:row>
    <x:row r="902">
      <x:c r="A902" s="12"/>
      <x:c r="B902" s="12"/>
      <x:c r="C902" s="12"/>
      <x:c r="D902" s="12"/>
      <x:c r="E902" s="18"/>
      <x:c r="F902" s="12"/>
      <x:c r="G902" s="12"/>
      <x:c r="H902" s="12"/>
      <x:c r="I902" s="12"/>
    </x:row>
    <x:row r="903">
      <x:c r="A903" s="12"/>
      <x:c r="B903" s="12"/>
      <x:c r="C903" s="12"/>
      <x:c r="D903" s="12"/>
      <x:c r="E903" s="18"/>
      <x:c r="F903" s="12"/>
      <x:c r="G903" s="12"/>
      <x:c r="H903" s="12"/>
      <x:c r="I903" s="12"/>
    </x:row>
    <x:row r="904">
      <x:c r="A904" s="12"/>
      <x:c r="B904" s="12"/>
      <x:c r="C904" s="12"/>
      <x:c r="D904" s="12"/>
      <x:c r="E904" s="18"/>
      <x:c r="F904" s="12"/>
      <x:c r="G904" s="12"/>
      <x:c r="H904" s="12"/>
      <x:c r="I904" s="12"/>
    </x:row>
    <x:row r="905">
      <x:c r="A905" s="12"/>
      <x:c r="B905" s="12"/>
      <x:c r="C905" s="12"/>
      <x:c r="D905" s="12"/>
      <x:c r="E905" s="18"/>
      <x:c r="F905" s="12"/>
      <x:c r="G905" s="12"/>
      <x:c r="H905" s="12"/>
      <x:c r="I905" s="12"/>
    </x:row>
    <x:row r="906">
      <x:c r="A906" s="12"/>
      <x:c r="B906" s="12"/>
      <x:c r="C906" s="12"/>
      <x:c r="D906" s="12"/>
      <x:c r="E906" s="18"/>
      <x:c r="F906" s="12"/>
      <x:c r="G906" s="12"/>
      <x:c r="H906" s="12"/>
      <x:c r="I906" s="12"/>
    </x:row>
    <x:row r="907">
      <x:c r="A907" s="12"/>
      <x:c r="B907" s="12"/>
      <x:c r="C907" s="12"/>
      <x:c r="D907" s="12"/>
      <x:c r="E907" s="18"/>
      <x:c r="F907" s="12"/>
      <x:c r="G907" s="12"/>
      <x:c r="H907" s="12"/>
      <x:c r="I907" s="12"/>
    </x:row>
    <x:row r="908">
      <x:c r="A908" s="12"/>
      <x:c r="B908" s="12"/>
      <x:c r="C908" s="12"/>
      <x:c r="D908" s="12"/>
      <x:c r="E908" s="18"/>
      <x:c r="F908" s="12"/>
      <x:c r="G908" s="12"/>
      <x:c r="H908" s="12"/>
      <x:c r="I908" s="12"/>
    </x:row>
    <x:row r="909">
      <x:c r="A909" s="12"/>
      <x:c r="B909" s="12"/>
      <x:c r="C909" s="12"/>
      <x:c r="D909" s="12"/>
      <x:c r="E909" s="18"/>
      <x:c r="F909" s="12"/>
      <x:c r="G909" s="12"/>
      <x:c r="H909" s="12"/>
      <x:c r="I909" s="12"/>
    </x:row>
    <x:row r="910">
      <x:c r="A910" s="12"/>
      <x:c r="B910" s="12"/>
      <x:c r="C910" s="12"/>
      <x:c r="D910" s="12"/>
      <x:c r="E910" s="18"/>
      <x:c r="F910" s="12"/>
      <x:c r="G910" s="12"/>
      <x:c r="H910" s="12"/>
      <x:c r="I910" s="12"/>
    </x:row>
    <x:row r="911">
      <x:c r="A911" s="12"/>
      <x:c r="B911" s="12"/>
      <x:c r="C911" s="12"/>
      <x:c r="D911" s="12"/>
      <x:c r="E911" s="18"/>
      <x:c r="F911" s="12"/>
      <x:c r="G911" s="12"/>
      <x:c r="H911" s="12"/>
      <x:c r="I911" s="12"/>
    </x:row>
    <x:row r="912">
      <x:c r="A912" s="12"/>
      <x:c r="B912" s="12"/>
      <x:c r="C912" s="12"/>
      <x:c r="D912" s="12"/>
      <x:c r="E912" s="18"/>
      <x:c r="F912" s="12"/>
      <x:c r="G912" s="12"/>
      <x:c r="H912" s="12"/>
      <x:c r="I912" s="12"/>
    </x:row>
    <x:row r="913">
      <x:c r="A913" s="12"/>
      <x:c r="B913" s="12"/>
      <x:c r="C913" s="12"/>
      <x:c r="D913" s="12"/>
      <x:c r="E913" s="18"/>
      <x:c r="F913" s="12"/>
      <x:c r="G913" s="12"/>
      <x:c r="H913" s="12"/>
      <x:c r="I913" s="12"/>
    </x:row>
    <x:row r="914">
      <x:c r="A914" s="12"/>
      <x:c r="B914" s="12"/>
      <x:c r="C914" s="12"/>
      <x:c r="D914" s="12"/>
      <x:c r="E914" s="18"/>
      <x:c r="F914" s="12"/>
      <x:c r="G914" s="12"/>
      <x:c r="H914" s="12"/>
      <x:c r="I914" s="12"/>
    </x:row>
    <x:row r="915">
      <x:c r="A915" s="12"/>
      <x:c r="B915" s="12"/>
      <x:c r="C915" s="12"/>
      <x:c r="D915" s="12"/>
      <x:c r="E915" s="18"/>
      <x:c r="F915" s="12"/>
      <x:c r="G915" s="12"/>
      <x:c r="H915" s="12"/>
      <x:c r="I915" s="12"/>
    </x:row>
    <x:row r="916">
      <x:c r="A916" s="12"/>
      <x:c r="B916" s="12"/>
      <x:c r="C916" s="12"/>
      <x:c r="D916" s="12"/>
      <x:c r="E916" s="18"/>
      <x:c r="F916" s="12"/>
      <x:c r="G916" s="12"/>
      <x:c r="H916" s="12"/>
      <x:c r="I916" s="12"/>
    </x:row>
    <x:row r="917">
      <x:c r="A917" s="12"/>
      <x:c r="B917" s="12"/>
      <x:c r="C917" s="12"/>
      <x:c r="D917" s="12"/>
      <x:c r="E917" s="18"/>
      <x:c r="F917" s="12"/>
      <x:c r="G917" s="12"/>
      <x:c r="H917" s="12"/>
      <x:c r="I917" s="12"/>
    </x:row>
    <x:row r="918">
      <x:c r="A918" s="12"/>
      <x:c r="B918" s="12"/>
      <x:c r="C918" s="12"/>
      <x:c r="D918" s="12"/>
      <x:c r="E918" s="18"/>
      <x:c r="F918" s="12"/>
      <x:c r="G918" s="12"/>
      <x:c r="H918" s="12"/>
      <x:c r="I918" s="12"/>
    </x:row>
    <x:row r="919">
      <x:c r="A919" s="12"/>
      <x:c r="B919" s="12"/>
      <x:c r="C919" s="12"/>
      <x:c r="D919" s="12"/>
      <x:c r="E919" s="18"/>
      <x:c r="F919" s="12"/>
      <x:c r="G919" s="12"/>
      <x:c r="H919" s="12"/>
      <x:c r="I919" s="12"/>
    </x:row>
    <x:row r="920">
      <x:c r="A920" s="12"/>
      <x:c r="B920" s="12"/>
      <x:c r="C920" s="12"/>
      <x:c r="D920" s="12"/>
      <x:c r="E920" s="18"/>
      <x:c r="F920" s="12"/>
      <x:c r="G920" s="12"/>
      <x:c r="H920" s="12"/>
      <x:c r="I920" s="12"/>
    </x:row>
    <x:row r="921">
      <x:c r="A921" s="12"/>
      <x:c r="B921" s="12"/>
      <x:c r="C921" s="12"/>
      <x:c r="D921" s="12"/>
      <x:c r="E921" s="18"/>
      <x:c r="F921" s="12"/>
      <x:c r="G921" s="12"/>
      <x:c r="H921" s="12"/>
      <x:c r="I921" s="12"/>
    </x:row>
    <x:row r="922">
      <x:c r="A922" s="12"/>
      <x:c r="B922" s="12"/>
      <x:c r="C922" s="12"/>
      <x:c r="D922" s="12"/>
      <x:c r="E922" s="18"/>
      <x:c r="F922" s="12"/>
      <x:c r="G922" s="12"/>
      <x:c r="H922" s="12"/>
      <x:c r="I922" s="12"/>
    </x:row>
    <x:row r="923">
      <x:c r="A923" s="12"/>
      <x:c r="B923" s="12"/>
      <x:c r="C923" s="12"/>
      <x:c r="D923" s="12"/>
      <x:c r="E923" s="18"/>
      <x:c r="F923" s="12"/>
      <x:c r="G923" s="12"/>
      <x:c r="H923" s="12"/>
      <x:c r="I923" s="12"/>
    </x:row>
    <x:row r="924">
      <x:c r="A924" s="12"/>
      <x:c r="B924" s="12"/>
      <x:c r="C924" s="12"/>
      <x:c r="D924" s="12"/>
      <x:c r="E924" s="18"/>
      <x:c r="F924" s="12"/>
      <x:c r="G924" s="12"/>
      <x:c r="H924" s="12"/>
      <x:c r="I924" s="12"/>
    </x:row>
    <x:row r="925">
      <x:c r="A925" s="12"/>
      <x:c r="B925" s="12"/>
      <x:c r="C925" s="12"/>
      <x:c r="D925" s="12"/>
      <x:c r="E925" s="18"/>
      <x:c r="F925" s="12"/>
      <x:c r="G925" s="12"/>
      <x:c r="H925" s="12"/>
      <x:c r="I925" s="12"/>
    </x:row>
    <x:row r="926">
      <x:c r="A926" s="12"/>
      <x:c r="B926" s="12"/>
      <x:c r="C926" s="12"/>
      <x:c r="D926" s="12"/>
      <x:c r="E926" s="18"/>
      <x:c r="F926" s="12"/>
      <x:c r="G926" s="12"/>
      <x:c r="H926" s="12"/>
      <x:c r="I926" s="12"/>
    </x:row>
    <x:row r="927">
      <x:c r="A927" s="12"/>
      <x:c r="B927" s="12"/>
      <x:c r="C927" s="12"/>
      <x:c r="D927" s="12"/>
      <x:c r="E927" s="18"/>
      <x:c r="F927" s="12"/>
      <x:c r="G927" s="12"/>
      <x:c r="H927" s="12"/>
      <x:c r="I927" s="12"/>
    </x:row>
    <x:row r="928">
      <x:c r="A928" s="12"/>
      <x:c r="B928" s="12"/>
      <x:c r="C928" s="12"/>
      <x:c r="D928" s="12"/>
      <x:c r="E928" s="18"/>
      <x:c r="F928" s="12"/>
      <x:c r="G928" s="12"/>
      <x:c r="H928" s="12"/>
      <x:c r="I928" s="12"/>
    </x:row>
    <x:row r="929">
      <x:c r="A929" s="12"/>
      <x:c r="B929" s="12"/>
      <x:c r="C929" s="12"/>
      <x:c r="D929" s="12"/>
      <x:c r="E929" s="18"/>
      <x:c r="F929" s="12"/>
      <x:c r="G929" s="12"/>
      <x:c r="H929" s="12"/>
      <x:c r="I929" s="12"/>
    </x:row>
    <x:row r="930">
      <x:c r="A930" s="12"/>
      <x:c r="B930" s="12"/>
      <x:c r="C930" s="12"/>
      <x:c r="D930" s="12"/>
      <x:c r="E930" s="18"/>
      <x:c r="F930" s="12"/>
      <x:c r="G930" s="12"/>
      <x:c r="H930" s="12"/>
      <x:c r="I930" s="12"/>
    </x:row>
    <x:row r="931">
      <x:c r="A931" s="12"/>
      <x:c r="B931" s="12"/>
      <x:c r="C931" s="12"/>
      <x:c r="D931" s="12"/>
      <x:c r="E931" s="18"/>
      <x:c r="F931" s="12"/>
      <x:c r="G931" s="12"/>
      <x:c r="H931" s="12"/>
      <x:c r="I931" s="12"/>
    </x:row>
    <x:row r="932">
      <x:c r="A932" s="12"/>
      <x:c r="B932" s="12"/>
      <x:c r="C932" s="12"/>
      <x:c r="D932" s="12"/>
      <x:c r="E932" s="18"/>
      <x:c r="F932" s="12"/>
      <x:c r="G932" s="12"/>
      <x:c r="H932" s="12"/>
      <x:c r="I932" s="12"/>
    </x:row>
    <x:row r="933">
      <x:c r="A933" s="12"/>
      <x:c r="B933" s="12"/>
      <x:c r="C933" s="12"/>
      <x:c r="D933" s="12"/>
      <x:c r="E933" s="18"/>
      <x:c r="F933" s="12"/>
      <x:c r="G933" s="12"/>
      <x:c r="H933" s="12"/>
      <x:c r="I933" s="12"/>
    </x:row>
    <x:row r="934">
      <x:c r="A934" s="12"/>
      <x:c r="B934" s="12"/>
      <x:c r="C934" s="12"/>
      <x:c r="D934" s="12"/>
      <x:c r="E934" s="18"/>
      <x:c r="F934" s="12"/>
      <x:c r="G934" s="12"/>
      <x:c r="H934" s="12"/>
      <x:c r="I934" s="12"/>
    </x:row>
    <x:row r="935">
      <x:c r="A935" s="12"/>
      <x:c r="B935" s="12"/>
      <x:c r="C935" s="12"/>
      <x:c r="D935" s="12"/>
      <x:c r="E935" s="18"/>
      <x:c r="F935" s="12"/>
      <x:c r="G935" s="12"/>
      <x:c r="H935" s="12"/>
      <x:c r="I935" s="12"/>
    </x:row>
    <x:row r="936">
      <x:c r="A936" s="12"/>
      <x:c r="B936" s="12"/>
      <x:c r="C936" s="12"/>
      <x:c r="D936" s="12"/>
      <x:c r="E936" s="18"/>
      <x:c r="F936" s="12"/>
      <x:c r="G936" s="12"/>
      <x:c r="H936" s="12"/>
      <x:c r="I936" s="12"/>
    </x:row>
    <x:row r="937">
      <x:c r="A937" s="12"/>
      <x:c r="B937" s="12"/>
      <x:c r="C937" s="12"/>
      <x:c r="D937" s="12"/>
      <x:c r="E937" s="18"/>
      <x:c r="F937" s="12"/>
      <x:c r="G937" s="12"/>
      <x:c r="H937" s="12"/>
      <x:c r="I937" s="12"/>
    </x:row>
    <x:row r="938">
      <x:c r="A938" s="12"/>
      <x:c r="B938" s="12"/>
      <x:c r="C938" s="12"/>
      <x:c r="D938" s="12"/>
      <x:c r="E938" s="18"/>
      <x:c r="F938" s="12"/>
      <x:c r="G938" s="12"/>
      <x:c r="H938" s="12"/>
      <x:c r="I938" s="12"/>
    </x:row>
    <x:row r="939">
      <x:c r="A939" s="12"/>
      <x:c r="B939" s="12"/>
      <x:c r="C939" s="12"/>
      <x:c r="D939" s="12"/>
      <x:c r="E939" s="18"/>
      <x:c r="F939" s="12"/>
      <x:c r="G939" s="12"/>
      <x:c r="H939" s="12"/>
      <x:c r="I939" s="12"/>
    </x:row>
    <x:row r="940">
      <x:c r="A940" s="12"/>
      <x:c r="B940" s="12"/>
      <x:c r="C940" s="12"/>
      <x:c r="D940" s="12"/>
      <x:c r="E940" s="18"/>
      <x:c r="F940" s="12"/>
      <x:c r="G940" s="12"/>
      <x:c r="H940" s="12"/>
      <x:c r="I940" s="12"/>
    </x:row>
    <x:row r="941">
      <x:c r="A941" s="12"/>
      <x:c r="B941" s="12"/>
      <x:c r="C941" s="12"/>
      <x:c r="D941" s="12"/>
      <x:c r="E941" s="18"/>
      <x:c r="F941" s="12"/>
      <x:c r="G941" s="12"/>
      <x:c r="H941" s="12"/>
      <x:c r="I941" s="12"/>
    </x:row>
    <x:row r="942">
      <x:c r="A942" s="12"/>
      <x:c r="B942" s="12"/>
      <x:c r="C942" s="12"/>
      <x:c r="D942" s="12"/>
      <x:c r="E942" s="18"/>
      <x:c r="F942" s="12"/>
      <x:c r="G942" s="12"/>
      <x:c r="H942" s="12"/>
      <x:c r="I942" s="12"/>
    </x:row>
    <x:row r="943">
      <x:c r="A943" s="12"/>
      <x:c r="B943" s="12"/>
      <x:c r="C943" s="12"/>
      <x:c r="D943" s="12"/>
      <x:c r="E943" s="18"/>
      <x:c r="F943" s="12"/>
      <x:c r="G943" s="12"/>
      <x:c r="H943" s="12"/>
      <x:c r="I943" s="12"/>
    </x:row>
    <x:row r="944">
      <x:c r="A944" s="12"/>
      <x:c r="B944" s="12"/>
      <x:c r="C944" s="12"/>
      <x:c r="D944" s="12"/>
      <x:c r="E944" s="18"/>
      <x:c r="F944" s="12"/>
      <x:c r="G944" s="12"/>
      <x:c r="H944" s="12"/>
      <x:c r="I944" s="12"/>
    </x:row>
    <x:row r="945">
      <x:c r="A945" s="12"/>
      <x:c r="B945" s="12"/>
      <x:c r="C945" s="12"/>
      <x:c r="D945" s="12"/>
      <x:c r="E945" s="18"/>
      <x:c r="F945" s="12"/>
      <x:c r="G945" s="12"/>
      <x:c r="H945" s="12"/>
      <x:c r="I945" s="12"/>
    </x:row>
    <x:row r="946">
      <x:c r="A946" s="12"/>
      <x:c r="B946" s="12"/>
      <x:c r="C946" s="12"/>
      <x:c r="D946" s="12"/>
      <x:c r="E946" s="18"/>
      <x:c r="F946" s="12"/>
      <x:c r="G946" s="12"/>
      <x:c r="H946" s="12"/>
      <x:c r="I946" s="12"/>
    </x:row>
    <x:row r="947">
      <x:c r="A947" s="12"/>
      <x:c r="B947" s="12"/>
      <x:c r="C947" s="12"/>
      <x:c r="D947" s="12"/>
      <x:c r="E947" s="18"/>
      <x:c r="F947" s="12"/>
      <x:c r="G947" s="12"/>
      <x:c r="H947" s="12"/>
      <x:c r="I947" s="12"/>
    </x:row>
    <x:row r="948">
      <x:c r="A948" s="12"/>
      <x:c r="B948" s="12"/>
      <x:c r="C948" s="12"/>
      <x:c r="D948" s="12"/>
      <x:c r="E948" s="18"/>
      <x:c r="F948" s="12"/>
      <x:c r="G948" s="12"/>
      <x:c r="H948" s="12"/>
      <x:c r="I948" s="12"/>
    </x:row>
    <x:row r="949">
      <x:c r="A949" s="12"/>
      <x:c r="B949" s="12"/>
      <x:c r="C949" s="12"/>
      <x:c r="D949" s="12"/>
      <x:c r="E949" s="18"/>
      <x:c r="F949" s="12"/>
      <x:c r="G949" s="12"/>
      <x:c r="H949" s="12"/>
      <x:c r="I949" s="12"/>
    </x:row>
    <x:row r="950">
      <x:c r="A950" s="12"/>
      <x:c r="B950" s="12"/>
      <x:c r="C950" s="12"/>
      <x:c r="D950" s="12"/>
      <x:c r="E950" s="18"/>
      <x:c r="F950" s="12"/>
      <x:c r="G950" s="12"/>
      <x:c r="H950" s="12"/>
      <x:c r="I950" s="12"/>
    </x:row>
    <x:row r="951">
      <x:c r="A951" s="12"/>
      <x:c r="B951" s="12"/>
      <x:c r="C951" s="12"/>
      <x:c r="D951" s="12"/>
      <x:c r="E951" s="18"/>
      <x:c r="F951" s="12"/>
      <x:c r="G951" s="12"/>
      <x:c r="H951" s="12"/>
      <x:c r="I951" s="12"/>
    </x:row>
    <x:row r="952">
      <x:c r="A952" s="12"/>
      <x:c r="B952" s="12"/>
      <x:c r="C952" s="12"/>
      <x:c r="D952" s="12"/>
      <x:c r="E952" s="18"/>
      <x:c r="F952" s="12"/>
      <x:c r="G952" s="12"/>
      <x:c r="H952" s="12"/>
      <x:c r="I952" s="12"/>
    </x:row>
    <x:row r="953">
      <x:c r="A953" s="12"/>
      <x:c r="B953" s="12"/>
      <x:c r="C953" s="12"/>
      <x:c r="D953" s="12"/>
      <x:c r="E953" s="18"/>
      <x:c r="F953" s="12"/>
      <x:c r="G953" s="12"/>
      <x:c r="H953" s="12"/>
      <x:c r="I953" s="12"/>
    </x:row>
    <x:row r="954">
      <x:c r="A954" s="12"/>
      <x:c r="B954" s="12"/>
      <x:c r="C954" s="12"/>
      <x:c r="D954" s="12"/>
      <x:c r="E954" s="18"/>
      <x:c r="F954" s="12"/>
      <x:c r="G954" s="12"/>
      <x:c r="H954" s="12"/>
      <x:c r="I954" s="12"/>
    </x:row>
    <x:row r="955">
      <x:c r="A955" s="12"/>
      <x:c r="B955" s="12"/>
      <x:c r="C955" s="12"/>
      <x:c r="D955" s="12"/>
      <x:c r="E955" s="18"/>
      <x:c r="F955" s="12"/>
      <x:c r="G955" s="12"/>
      <x:c r="H955" s="12"/>
      <x:c r="I955" s="12"/>
    </x:row>
    <x:row r="956">
      <x:c r="A956" s="12"/>
      <x:c r="B956" s="12"/>
      <x:c r="C956" s="12"/>
      <x:c r="D956" s="12"/>
      <x:c r="E956" s="18"/>
      <x:c r="F956" s="12"/>
      <x:c r="G956" s="12"/>
      <x:c r="H956" s="12"/>
      <x:c r="I956" s="12"/>
    </x:row>
    <x:row r="957">
      <x:c r="A957" s="12"/>
      <x:c r="B957" s="12"/>
      <x:c r="C957" s="12"/>
      <x:c r="D957" s="12"/>
      <x:c r="E957" s="18"/>
      <x:c r="F957" s="12"/>
      <x:c r="G957" s="12"/>
      <x:c r="H957" s="12"/>
      <x:c r="I957" s="12"/>
    </x:row>
    <x:row r="958">
      <x:c r="A958" s="12"/>
      <x:c r="B958" s="12"/>
      <x:c r="C958" s="12"/>
      <x:c r="D958" s="12"/>
      <x:c r="E958" s="18"/>
      <x:c r="F958" s="12"/>
      <x:c r="G958" s="12"/>
      <x:c r="H958" s="12"/>
      <x:c r="I958" s="12"/>
    </x:row>
    <x:row r="959">
      <x:c r="A959" s="12"/>
      <x:c r="B959" s="12"/>
      <x:c r="C959" s="12"/>
      <x:c r="D959" s="12"/>
      <x:c r="E959" s="18"/>
      <x:c r="F959" s="12"/>
      <x:c r="G959" s="12"/>
      <x:c r="H959" s="12"/>
      <x:c r="I959" s="12"/>
    </x:row>
    <x:row r="960">
      <x:c r="A960" s="12"/>
      <x:c r="B960" s="12"/>
      <x:c r="C960" s="12"/>
      <x:c r="D960" s="12"/>
      <x:c r="E960" s="18"/>
      <x:c r="F960" s="12"/>
      <x:c r="G960" s="12"/>
      <x:c r="H960" s="12"/>
      <x:c r="I960" s="12"/>
    </x:row>
    <x:row r="961">
      <x:c r="A961" s="12"/>
      <x:c r="B961" s="12"/>
      <x:c r="C961" s="12"/>
      <x:c r="D961" s="12"/>
      <x:c r="E961" s="18"/>
      <x:c r="F961" s="12"/>
      <x:c r="G961" s="12"/>
      <x:c r="H961" s="12"/>
      <x:c r="I961" s="12"/>
    </x:row>
    <x:row r="962">
      <x:c r="A962" s="12"/>
      <x:c r="B962" s="12"/>
      <x:c r="C962" s="12"/>
      <x:c r="D962" s="12"/>
      <x:c r="E962" s="18"/>
      <x:c r="F962" s="12"/>
      <x:c r="G962" s="12"/>
      <x:c r="H962" s="12"/>
      <x:c r="I962" s="12"/>
    </x:row>
    <x:row r="963">
      <x:c r="A963" s="12"/>
      <x:c r="B963" s="12"/>
      <x:c r="C963" s="12"/>
      <x:c r="D963" s="12"/>
      <x:c r="E963" s="18"/>
      <x:c r="F963" s="12"/>
      <x:c r="G963" s="12"/>
      <x:c r="H963" s="12"/>
      <x:c r="I963" s="12"/>
    </x:row>
    <x:row r="964">
      <x:c r="A964" s="12"/>
      <x:c r="B964" s="12"/>
      <x:c r="C964" s="12"/>
      <x:c r="D964" s="12"/>
      <x:c r="E964" s="18"/>
      <x:c r="F964" s="12"/>
      <x:c r="G964" s="12"/>
      <x:c r="H964" s="12"/>
      <x:c r="I964" s="12"/>
    </x:row>
    <x:row r="965">
      <x:c r="A965" s="12"/>
      <x:c r="B965" s="12"/>
      <x:c r="C965" s="12"/>
      <x:c r="D965" s="12"/>
      <x:c r="E965" s="18"/>
      <x:c r="F965" s="12"/>
      <x:c r="G965" s="12"/>
      <x:c r="H965" s="12"/>
      <x:c r="I965" s="12"/>
    </x:row>
    <x:row r="966">
      <x:c r="A966" s="12"/>
      <x:c r="B966" s="12"/>
      <x:c r="C966" s="12"/>
      <x:c r="D966" s="12"/>
      <x:c r="E966" s="18"/>
      <x:c r="F966" s="12"/>
      <x:c r="G966" s="12"/>
      <x:c r="H966" s="12"/>
      <x:c r="I966" s="12"/>
    </x:row>
    <x:row r="967">
      <x:c r="A967" s="12"/>
      <x:c r="B967" s="12"/>
      <x:c r="C967" s="12"/>
      <x:c r="D967" s="12"/>
      <x:c r="E967" s="18"/>
      <x:c r="F967" s="12"/>
      <x:c r="G967" s="12"/>
      <x:c r="H967" s="12"/>
      <x:c r="I967" s="12"/>
    </x:row>
    <x:row r="968">
      <x:c r="A968" s="12"/>
      <x:c r="B968" s="12"/>
      <x:c r="C968" s="12"/>
      <x:c r="D968" s="12"/>
      <x:c r="E968" s="18"/>
      <x:c r="F968" s="12"/>
      <x:c r="G968" s="12"/>
      <x:c r="H968" s="12"/>
      <x:c r="I968" s="12"/>
    </x:row>
    <x:row r="969">
      <x:c r="A969" s="12"/>
      <x:c r="B969" s="12"/>
      <x:c r="C969" s="12"/>
      <x:c r="D969" s="12"/>
      <x:c r="E969" s="18"/>
      <x:c r="F969" s="12"/>
      <x:c r="G969" s="12"/>
      <x:c r="H969" s="12"/>
      <x:c r="I969" s="12"/>
    </x:row>
    <x:row r="970">
      <x:c r="A970" s="12"/>
      <x:c r="B970" s="12"/>
      <x:c r="C970" s="12"/>
      <x:c r="D970" s="12"/>
      <x:c r="E970" s="18"/>
      <x:c r="F970" s="12"/>
      <x:c r="G970" s="12"/>
      <x:c r="H970" s="12"/>
      <x:c r="I970" s="12"/>
    </x:row>
    <x:row r="971">
      <x:c r="A971" s="12"/>
      <x:c r="B971" s="12"/>
      <x:c r="C971" s="12"/>
      <x:c r="D971" s="12"/>
      <x:c r="E971" s="18"/>
      <x:c r="F971" s="12"/>
      <x:c r="G971" s="12"/>
      <x:c r="H971" s="12"/>
      <x:c r="I971" s="12"/>
    </x:row>
    <x:row r="972">
      <x:c r="A972" s="12"/>
      <x:c r="B972" s="12"/>
      <x:c r="C972" s="12"/>
      <x:c r="D972" s="12"/>
      <x:c r="E972" s="18"/>
      <x:c r="F972" s="12"/>
      <x:c r="G972" s="12"/>
      <x:c r="H972" s="12"/>
      <x:c r="I972" s="12"/>
    </x:row>
    <x:row r="973">
      <x:c r="A973" s="12"/>
      <x:c r="B973" s="12"/>
      <x:c r="C973" s="12"/>
      <x:c r="D973" s="12"/>
      <x:c r="E973" s="18"/>
      <x:c r="F973" s="12"/>
      <x:c r="G973" s="12"/>
      <x:c r="H973" s="12"/>
      <x:c r="I973" s="12"/>
    </x:row>
    <x:row r="974">
      <x:c r="A974" s="12"/>
      <x:c r="B974" s="12"/>
      <x:c r="C974" s="12"/>
      <x:c r="D974" s="12"/>
      <x:c r="E974" s="18"/>
      <x:c r="F974" s="12"/>
      <x:c r="G974" s="12"/>
      <x:c r="H974" s="12"/>
      <x:c r="I974" s="12"/>
    </x:row>
    <x:row r="975">
      <x:c r="A975" s="12"/>
      <x:c r="B975" s="12"/>
      <x:c r="C975" s="12"/>
      <x:c r="D975" s="12"/>
      <x:c r="E975" s="18"/>
      <x:c r="F975" s="12"/>
      <x:c r="G975" s="12"/>
      <x:c r="H975" s="12"/>
      <x:c r="I975" s="12"/>
    </x:row>
    <x:row r="976">
      <x:c r="A976" s="12"/>
      <x:c r="B976" s="12"/>
      <x:c r="C976" s="12"/>
      <x:c r="D976" s="12"/>
      <x:c r="E976" s="18"/>
      <x:c r="F976" s="12"/>
      <x:c r="G976" s="12"/>
      <x:c r="H976" s="12"/>
      <x:c r="I976" s="12"/>
    </x:row>
    <x:row r="977">
      <x:c r="A977" s="12"/>
      <x:c r="B977" s="12"/>
      <x:c r="C977" s="12"/>
      <x:c r="D977" s="12"/>
      <x:c r="E977" s="18"/>
      <x:c r="F977" s="12"/>
      <x:c r="G977" s="12"/>
      <x:c r="H977" s="12"/>
      <x:c r="I977" s="12"/>
    </x:row>
    <x:row r="978">
      <x:c r="A978" s="12"/>
      <x:c r="B978" s="12"/>
      <x:c r="C978" s="12"/>
      <x:c r="D978" s="12"/>
      <x:c r="E978" s="18"/>
      <x:c r="F978" s="12"/>
      <x:c r="G978" s="12"/>
      <x:c r="H978" s="12"/>
      <x:c r="I978" s="12"/>
    </x:row>
    <x:row r="979">
      <x:c r="A979" s="12"/>
      <x:c r="B979" s="12"/>
      <x:c r="C979" s="12"/>
      <x:c r="D979" s="12"/>
      <x:c r="E979" s="18"/>
      <x:c r="F979" s="12"/>
      <x:c r="G979" s="12"/>
      <x:c r="H979" s="12"/>
      <x:c r="I979" s="12"/>
    </x:row>
    <x:row r="980">
      <x:c r="A980" s="12"/>
      <x:c r="B980" s="12"/>
      <x:c r="C980" s="12"/>
      <x:c r="D980" s="12"/>
      <x:c r="E980" s="18"/>
      <x:c r="F980" s="12"/>
      <x:c r="G980" s="12"/>
      <x:c r="H980" s="12"/>
      <x:c r="I980" s="12"/>
    </x:row>
    <x:row r="981">
      <x:c r="A981" s="12"/>
      <x:c r="B981" s="12"/>
      <x:c r="C981" s="12"/>
      <x:c r="D981" s="12"/>
      <x:c r="E981" s="18"/>
      <x:c r="F981" s="12"/>
      <x:c r="G981" s="12"/>
      <x:c r="H981" s="12"/>
      <x:c r="I981" s="12"/>
    </x:row>
    <x:row r="982">
      <x:c r="A982" s="12"/>
      <x:c r="B982" s="12"/>
      <x:c r="C982" s="12"/>
      <x:c r="D982" s="12"/>
      <x:c r="E982" s="18"/>
      <x:c r="F982" s="12"/>
      <x:c r="G982" s="12"/>
      <x:c r="H982" s="12"/>
      <x:c r="I982" s="12"/>
    </x:row>
    <x:row r="983">
      <x:c r="A983" s="12"/>
      <x:c r="B983" s="12"/>
      <x:c r="C983" s="12"/>
      <x:c r="D983" s="12"/>
      <x:c r="E983" s="18"/>
      <x:c r="F983" s="12"/>
      <x:c r="G983" s="12"/>
      <x:c r="H983" s="12"/>
      <x:c r="I983" s="12"/>
    </x:row>
    <x:row r="984">
      <x:c r="A984" s="12"/>
      <x:c r="B984" s="12"/>
      <x:c r="C984" s="12"/>
      <x:c r="D984" s="12"/>
      <x:c r="E984" s="18"/>
      <x:c r="F984" s="12"/>
      <x:c r="G984" s="12"/>
      <x:c r="H984" s="12"/>
      <x:c r="I984" s="12"/>
    </x:row>
    <x:row r="985">
      <x:c r="A985" s="12"/>
      <x:c r="B985" s="12"/>
      <x:c r="C985" s="12"/>
      <x:c r="D985" s="12"/>
      <x:c r="E985" s="18"/>
      <x:c r="F985" s="12"/>
      <x:c r="G985" s="12"/>
      <x:c r="H985" s="12"/>
      <x:c r="I985" s="12"/>
    </x:row>
    <x:row r="986">
      <x:c r="A986" s="12"/>
      <x:c r="B986" s="12"/>
      <x:c r="C986" s="12"/>
      <x:c r="D986" s="12"/>
      <x:c r="E986" s="18"/>
      <x:c r="F986" s="12"/>
      <x:c r="G986" s="12"/>
      <x:c r="H986" s="12"/>
      <x:c r="I986" s="12"/>
    </x:row>
    <x:row r="987">
      <x:c r="A987" s="12"/>
      <x:c r="B987" s="12"/>
      <x:c r="C987" s="12"/>
      <x:c r="D987" s="12"/>
      <x:c r="E987" s="18"/>
      <x:c r="F987" s="12"/>
      <x:c r="G987" s="12"/>
      <x:c r="H987" s="12"/>
      <x:c r="I987" s="12"/>
    </x:row>
    <x:row r="988">
      <x:c r="A988" s="12"/>
      <x:c r="B988" s="12"/>
      <x:c r="C988" s="12"/>
      <x:c r="D988" s="12"/>
      <x:c r="E988" s="18"/>
      <x:c r="F988" s="12"/>
      <x:c r="G988" s="12"/>
      <x:c r="H988" s="12"/>
      <x:c r="I988" s="12"/>
    </x:row>
    <x:row r="989">
      <x:c r="A989" s="12"/>
      <x:c r="B989" s="12"/>
      <x:c r="C989" s="12"/>
      <x:c r="D989" s="12"/>
      <x:c r="E989" s="18"/>
      <x:c r="F989" s="12"/>
      <x:c r="G989" s="12"/>
      <x:c r="H989" s="12"/>
      <x:c r="I989" s="12"/>
    </x:row>
    <x:row r="990">
      <x:c r="A990" s="12"/>
      <x:c r="B990" s="12"/>
      <x:c r="C990" s="12"/>
      <x:c r="D990" s="12"/>
      <x:c r="E990" s="18"/>
      <x:c r="F990" s="12"/>
      <x:c r="G990" s="12"/>
      <x:c r="H990" s="12"/>
      <x:c r="I990" s="12"/>
    </x:row>
    <x:row r="991">
      <x:c r="A991" s="12"/>
      <x:c r="B991" s="12"/>
      <x:c r="C991" s="12"/>
      <x:c r="D991" s="12"/>
      <x:c r="E991" s="18"/>
      <x:c r="F991" s="12"/>
      <x:c r="G991" s="12"/>
      <x:c r="H991" s="12"/>
      <x:c r="I991" s="12"/>
    </x:row>
    <x:row r="992">
      <x:c r="A992" s="12"/>
      <x:c r="B992" s="12"/>
      <x:c r="C992" s="12"/>
      <x:c r="D992" s="12"/>
      <x:c r="E992" s="18"/>
      <x:c r="F992" s="12"/>
      <x:c r="G992" s="12"/>
      <x:c r="H992" s="12"/>
      <x:c r="I992" s="12"/>
    </x:row>
    <x:row r="993">
      <x:c r="A993" s="12"/>
      <x:c r="B993" s="12"/>
      <x:c r="C993" s="12"/>
      <x:c r="D993" s="12"/>
      <x:c r="E993" s="18"/>
      <x:c r="F993" s="12"/>
      <x:c r="G993" s="12"/>
      <x:c r="H993" s="12"/>
      <x:c r="I993" s="12"/>
    </x:row>
    <x:row r="994">
      <x:c r="A994" s="12"/>
      <x:c r="B994" s="12"/>
      <x:c r="C994" s="12"/>
      <x:c r="D994" s="12"/>
      <x:c r="E994" s="18"/>
      <x:c r="F994" s="12"/>
      <x:c r="G994" s="12"/>
      <x:c r="H994" s="12"/>
      <x:c r="I994" s="12"/>
    </x:row>
    <x:row r="995">
      <x:c r="A995" s="12"/>
      <x:c r="B995" s="12"/>
      <x:c r="C995" s="12"/>
      <x:c r="D995" s="12"/>
      <x:c r="E995" s="18"/>
      <x:c r="F995" s="12"/>
      <x:c r="G995" s="12"/>
      <x:c r="H995" s="12"/>
      <x:c r="I995" s="12"/>
    </x:row>
    <x:row r="996">
      <x:c r="A996" s="12"/>
      <x:c r="B996" s="12"/>
      <x:c r="C996" s="12"/>
      <x:c r="D996" s="12"/>
      <x:c r="E996" s="18"/>
      <x:c r="F996" s="12"/>
      <x:c r="G996" s="12"/>
      <x:c r="H996" s="12"/>
      <x:c r="I996" s="12"/>
    </x:row>
    <x:row r="997">
      <x:c r="A997" s="12"/>
      <x:c r="B997" s="12"/>
      <x:c r="C997" s="12"/>
      <x:c r="D997" s="12"/>
      <x:c r="E997" s="18"/>
      <x:c r="F997" s="12"/>
      <x:c r="G997" s="12"/>
      <x:c r="H997" s="12"/>
      <x:c r="I997" s="12"/>
    </x:row>
    <x:row r="998">
      <x:c r="A998" s="12"/>
      <x:c r="B998" s="12"/>
      <x:c r="C998" s="12"/>
      <x:c r="D998" s="12"/>
      <x:c r="E998" s="18"/>
      <x:c r="F998" s="12"/>
      <x:c r="G998" s="12"/>
      <x:c r="H998" s="12"/>
      <x:c r="I998" s="12"/>
    </x:row>
    <x:row r="999">
      <x:c r="A999" s="12"/>
      <x:c r="B999" s="12"/>
      <x:c r="C999" s="12"/>
      <x:c r="D999" s="12"/>
      <x:c r="E999" s="18"/>
      <x:c r="F999" s="12"/>
      <x:c r="G999" s="12"/>
      <x:c r="H999" s="12"/>
      <x:c r="I999" s="12"/>
    </x:row>
    <x:row r="1000">
      <x:c r="A1000" s="12"/>
      <x:c r="B1000" s="12"/>
      <x:c r="C1000" s="12"/>
      <x:c r="D1000" s="12"/>
      <x:c r="E1000" s="18"/>
      <x:c r="F1000" s="12"/>
      <x:c r="G1000" s="12"/>
      <x:c r="H1000" s="12"/>
      <x:c r="I1000" s="12"/>
    </x:row>
  </x:sheetData>
  <x:dataValidations count="1">
    <x:dataValidation type="list" sqref="D2:D1000">
      <x:formula1>"Aporte,Retirada,Ajuste"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e2c6d8178c496d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6" hidden="0" customWidth="1"/>
    <x:col min="8" max="8" width="20" hidden="0" customWidth="1"/>
    <x:col min="9" max="9" width="20" hidden="0" customWidth="1"/>
    <x:col min="10" max="10" width="14" hidden="0" customWidth="1"/>
    <x:col min="11" max="11" width="50" hidden="0" customWidth="1"/>
    <x:col min="12" max="12" width="18" hidden="0" customWidth="1"/>
    <x:col min="13" max="13" width="18" hidden="0" customWidth="1"/>
  </x:cols>
  <x:sheetData>
    <x:row r="1">
      <x:c r="A1" s="6" t="str">
        <x:v>aplazadoId</x:v>
      </x:c>
      <x:c r="B1" s="6" t="str">
        <x:v>concepto</x:v>
      </x:c>
      <x:c r="C1" s="6" t="str">
        <x:v>importeTotal</x:v>
      </x:c>
      <x:c r="D1" s="6" t="str">
        <x:v>importePagado</x:v>
      </x:c>
      <x:c r="E1" s="6" t="str">
        <x:v>fechaInicio</x:v>
      </x:c>
      <x:c r="F1" s="6" t="str">
        <x:v>fechaFin</x:v>
      </x:c>
      <x:c r="G1" s="6" t="str">
        <x:v>cuotaMensual</x:v>
      </x:c>
      <x:c r="H1" s="6" t="str">
        <x:v>categoria</x:v>
      </x:c>
      <x:c r="I1" s="6" t="str">
        <x:v>cuentaOrigen</x:v>
      </x:c>
      <x:c r="J1" s="6" t="str">
        <x:v>estado</x:v>
      </x:c>
      <x:c r="K1" s="6" t="str">
        <x:v>notas</x:v>
      </x:c>
      <x:c r="L1" s="6" t="str">
        <x:v>createdAt</x:v>
      </x:c>
      <x:c r="M1" s="6" t="str">
        <x:v>updatedAt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</x:row>
  </x:sheetData>
  <x:pageMargins left="0.7" right="0.7" top="0.75" bottom="0.75" header="0.3" footer="0.3"/>
  <x:tableParts count="1">
    <x:tablePart xmlns:r="http://schemas.openxmlformats.org/officeDocument/2006/relationships" r:id="Rf3399ac3152645ed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6" t="str">
        <x:v>/***************</x:v>
      </x:c>
    </x:row>
    <x:row r="2">
      <x:c r="A2" t="str">
        <x:v> * Apps Script genérico para la plantilla base.</x:v>
      </x:c>
    </x:row>
    <x:row r="3">
      <x:c r="A3" t="str">
        <x:v> * Copiar en Extensiones &gt; Apps Script dentro de la Google Sheet.</x:v>
      </x:c>
    </x:row>
    <x:row r="4">
      <x:c r="A4" t="str">
        <x:v> ***************/</x:v>
      </x:c>
    </x:row>
    <x:row r="5">
      <x:c r="A5" t="str">
        <x:v>const CONFIG = {</x:v>
      </x:c>
    </x:row>
    <x:row r="6">
      <x:c r="A6" t="str">
        <x:v>  HOJA_VISTA: 'Vista_mes',</x:v>
      </x:c>
    </x:row>
    <x:row r="7">
      <x:c r="A7" t="str">
        <x:v>  HOJA_MOVIMIENTOS: 'Movimientos',</x:v>
      </x:c>
    </x:row>
    <x:row r="8">
      <x:c r="A8" t="str">
        <x:v>  HOJA_CATEGORIAS: 'Categorias',</x:v>
      </x:c>
    </x:row>
    <x:row r="9">
      <x:c r="A9" t="str">
        <x:v>  CELDA_GUARDAR: 'B15'</x:v>
      </x:c>
    </x:row>
    <x:row r="10">
      <x:c r="A10" t="str">
        <x:v>};</x:v>
      </x:c>
    </x:row>
    <x:row r="11">
      <x:c r="A11" t="str"/>
    </x:row>
    <x:row r="12">
      <x:c r="A12" t="str">
        <x:v>function getSpreadsheet_() {</x:v>
      </x:c>
    </x:row>
    <x:row r="13">
      <x:c r="A13" t="str">
        <x:v>  return SpreadsheetApp.getActiveSpreadsheet();</x:v>
      </x:c>
    </x:row>
    <x:row r="14">
      <x:c r="A14" t="str">
        <x:v>}</x:v>
      </x:c>
    </x:row>
    <x:row r="15">
      <x:c r="A15" t="str"/>
    </x:row>
    <x:row r="16">
      <x:c r="A16" t="str">
        <x:v>function onOpen() {</x:v>
      </x:c>
    </x:row>
    <x:row r="17">
      <x:c r="A17" t="str">
        <x:v>  SpreadsheetApp.getUi()</x:v>
      </x:c>
    </x:row>
    <x:row r="18">
      <x:c r="A18" t="str">
        <x:v>    .createMenu('Finanzas')</x:v>
      </x:c>
    </x:row>
    <x:row r="19">
      <x:c r="A19" t="str">
        <x:v>    .addItem('Guardar movimiento', 'guardarMovimiento')</x:v>
      </x:c>
    </x:row>
    <x:row r="20">
      <x:c r="A20" t="str">
        <x:v>    .addItem('Probar instalación', 'pruebaInstalacion')</x:v>
      </x:c>
    </x:row>
    <x:row r="21">
      <x:c r="A21" t="str">
        <x:v>    .addToUi();</x:v>
      </x:c>
    </x:row>
    <x:row r="22">
      <x:c r="A22" t="str">
        <x:v>}</x:v>
      </x:c>
    </x:row>
    <x:row r="23">
      <x:c r="A23" t="str"/>
    </x:row>
    <x:row r="24">
      <x:c r="A24" t="str">
        <x:v>function onEdit(e) {</x:v>
      </x:c>
    </x:row>
    <x:row r="25">
      <x:c r="A25" t="str">
        <x:v>  if (!e || !e.range) return;</x:v>
      </x:c>
    </x:row>
    <x:row r="26">
      <x:c r="A26" t="str">
        <x:v>  const hoja = e.range.getSheet();</x:v>
      </x:c>
    </x:row>
    <x:row r="27">
      <x:c r="A27" t="str">
        <x:v>  if (hoja.getName() !== CONFIG.HOJA_VISTA) return;</x:v>
      </x:c>
    </x:row>
    <x:row r="28">
      <x:c r="A28" t="str">
        <x:v>  if (e.range.getA1Notation() !== CONFIG.CELDA_GUARDAR) return;</x:v>
      </x:c>
    </x:row>
    <x:row r="29">
      <x:c r="A29" t="str">
        <x:v>  const valor = String(e.range.getValue() || '').trim().toUpperCase();</x:v>
      </x:c>
    </x:row>
    <x:row r="30">
      <x:c r="A30" t="str">
        <x:v>  if (valor !== 'GUARDAR') return;</x:v>
      </x:c>
    </x:row>
    <x:row r="31">
      <x:c r="A31" t="str">
        <x:v>  guardarMovimiento();</x:v>
      </x:c>
    </x:row>
    <x:row r="32">
      <x:c r="A32" t="str">
        <x:v>}</x:v>
      </x:c>
    </x:row>
    <x:row r="33">
      <x:c r="A33" t="str"/>
    </x:row>
    <x:row r="34">
      <x:c r="A34" t="str">
        <x:v>function guardarMovimiento() {</x:v>
      </x:c>
    </x:row>
    <x:row r="35">
      <x:c r="A35" t="str">
        <x:v>  const ss = getSpreadsheet_();</x:v>
      </x:c>
    </x:row>
    <x:row r="36">
      <x:c r="A36" t="str">
        <x:v>  const vista = ss.getSheetByName(CONFIG.HOJA_VISTA);</x:v>
      </x:c>
    </x:row>
    <x:row r="37">
      <x:c r="A37" t="str">
        <x:v>  const movimientos = ss.getSheetByName(CONFIG.HOJA_MOVIMIENTOS);</x:v>
      </x:c>
    </x:row>
    <x:row r="38">
      <x:c r="A38" t="str">
        <x:v>  const categorias = ss.getSheetByName(CONFIG.HOJA_CATEGORIAS);</x:v>
      </x:c>
    </x:row>
    <x:row r="39">
      <x:c r="A39" t="str">
        <x:v>  const config = ss.getSheetByName('Config');</x:v>
      </x:c>
    </x:row>
    <x:row r="40">
      <x:c r="A40" t="str"/>
    </x:row>
    <x:row r="41">
      <x:c r="A41" t="str">
        <x:v>  if (!vista || !movimientos || !categorias || !config) {</x:v>
      </x:c>
    </x:row>
    <x:row r="42">
      <x:c r="A42" t="str">
        <x:v>    SpreadsheetApp.getUi().alert('Faltan hojas necesarias: Vista_mes, Movimientos, Categorias o Config.');</x:v>
      </x:c>
    </x:row>
    <x:row r="43">
      <x:c r="A43" t="str">
        <x:v>    return;</x:v>
      </x:c>
    </x:row>
    <x:row r="44">
      <x:c r="A44" t="str">
        <x:v>  }</x:v>
      </x:c>
    </x:row>
    <x:row r="45">
      <x:c r="A45" t="str"/>
    </x:row>
    <x:row r="46">
      <x:c r="A46" t="str">
        <x:v>  const mesActivo = config.getRange('B6').getValue();</x:v>
      </x:c>
    </x:row>
    <x:row r="47">
      <x:c r="A47" t="str">
        <x:v>  if (!(mesActivo instanceof Date)) {</x:v>
      </x:c>
    </x:row>
    <x:row r="48">
      <x:c r="A48" t="str">
        <x:v>    limpiarGuardar_(vista);</x:v>
      </x:c>
    </x:row>
    <x:row r="49">
      <x:c r="A49" t="str">
        <x:v>    SpreadsheetApp.getUi().alert('Config!B6 debe tener una fecha válida.');</x:v>
      </x:c>
    </x:row>
    <x:row r="50">
      <x:c r="A50" t="str">
        <x:v>    return;</x:v>
      </x:c>
    </x:row>
    <x:row r="51">
      <x:c r="A51" t="str">
        <x:v>  }</x:v>
      </x:c>
    </x:row>
    <x:row r="52">
      <x:c r="A52" t="str"/>
    </x:row>
    <x:row r="53">
      <x:c r="A53" t="str">
        <x:v>  const dia = Number(vista.getRange('B4').getValue());</x:v>
      </x:c>
    </x:row>
    <x:row r="54">
      <x:c r="A54" t="str">
        <x:v>  const concepto = String(vista.getRange('B5').getValue() || '').trim();</x:v>
      </x:c>
    </x:row>
    <x:row r="55">
      <x:c r="A55" t="str">
        <x:v>  const tipo = String(vista.getRange('B6').getValue() || '').trim();</x:v>
      </x:c>
    </x:row>
    <x:row r="56">
      <x:c r="A56" t="str">
        <x:v>  const categoria = String(vista.getRange('B7').getValue() || '').trim();</x:v>
      </x:c>
    </x:row>
    <x:row r="57">
      <x:c r="A57" t="str">
        <x:v>  const importe = Number(vista.getRange('B8').getValue());</x:v>
      </x:c>
    </x:row>
    <x:row r="58">
      <x:c r="A58" t="str">
        <x:v>  const metodo = String(vista.getRange('B9').getValue() || '').trim();</x:v>
      </x:c>
    </x:row>
    <x:row r="59">
      <x:c r="A59" t="str">
        <x:v>  const cuentaOrigen = String(vista.getRange('B10').getValue() || '').trim();</x:v>
      </x:c>
    </x:row>
    <x:row r="60">
      <x:c r="A60" t="str">
        <x:v>  let cuentaDestino = String(vista.getRange('B11').getValue() || '').trim();</x:v>
      </x:c>
    </x:row>
    <x:row r="61">
      <x:c r="A61" t="str">
        <x:v>  const notas = String(vista.getRange('B12').getValue() || '').trim();</x:v>
      </x:c>
    </x:row>
    <x:row r="62">
      <x:c r="A62" t="str"/>
    </x:row>
    <x:row r="63">
      <x:c r="A63" t="str">
        <x:v>  if (!dia || dia &lt; 1 || dia &gt; 31 || !concepto || !tipo || !categoria || !importe || importe &lt;= 0) {</x:v>
      </x:c>
    </x:row>
    <x:row r="64">
      <x:c r="A64" t="str">
        <x:v>    limpiarGuardar_(vista);</x:v>
      </x:c>
    </x:row>
    <x:row r="65">
      <x:c r="A65" t="str">
        <x:v>    SpreadsheetApp.getUi().alert('Revisa campos obligatorios: día, concepto, tipo, categoría e importe.');</x:v>
      </x:c>
    </x:row>
    <x:row r="66">
      <x:c r="A66" t="str">
        <x:v>    return;</x:v>
      </x:c>
    </x:row>
    <x:row r="67">
      <x:c r="A67" t="str">
        <x:v>  }</x:v>
      </x:c>
    </x:row>
    <x:row r="68">
      <x:c r="A68" t="str"/>
    </x:row>
    <x:row r="69">
      <x:c r="A69" t="str">
        <x:v>  const tiposValidos = ['Ingreso', 'Gasto', 'Ahorro', 'Transferencia interna'];</x:v>
      </x:c>
    </x:row>
    <x:row r="70">
      <x:c r="A70" t="str">
        <x:v>  if (!tiposValidos.includes(tipo)) {</x:v>
      </x:c>
    </x:row>
    <x:row r="71">
      <x:c r="A71" t="str">
        <x:v>    limpiarGuardar_(vista);</x:v>
      </x:c>
    </x:row>
    <x:row r="72">
      <x:c r="A72" t="str">
        <x:v>    SpreadsheetApp.getUi().alert('Tipo no válido.');</x:v>
      </x:c>
    </x:row>
    <x:row r="73">
      <x:c r="A73" t="str">
        <x:v>    return;</x:v>
      </x:c>
    </x:row>
    <x:row r="74">
      <x:c r="A74" t="str">
        <x:v>  }</x:v>
      </x:c>
    </x:row>
    <x:row r="75">
      <x:c r="A75" t="str"/>
    </x:row>
    <x:row r="76">
      <x:c r="A76" t="str">
        <x:v>  if (tipo === 'Ingreso' &amp;&amp; !cuentaDestino) {</x:v>
      </x:c>
    </x:row>
    <x:row r="77">
      <x:c r="A77" t="str">
        <x:v>    limpiarGuardar_(vista);</x:v>
      </x:c>
    </x:row>
    <x:row r="78">
      <x:c r="A78" t="str">
        <x:v>    SpreadsheetApp.getUi().alert('Para un ingreso indica cuenta destino.');</x:v>
      </x:c>
    </x:row>
    <x:row r="79">
      <x:c r="A79" t="str">
        <x:v>    return;</x:v>
      </x:c>
    </x:row>
    <x:row r="80">
      <x:c r="A80" t="str">
        <x:v>  }</x:v>
      </x:c>
    </x:row>
    <x:row r="81">
      <x:c r="A81" t="str">
        <x:v>  if ((tipo === 'Gasto' || tipo === 'Ahorro') &amp;&amp; !cuentaOrigen) {</x:v>
      </x:c>
    </x:row>
    <x:row r="82">
      <x:c r="A82" t="str">
        <x:v>    limpiarGuardar_(vista);</x:v>
      </x:c>
    </x:row>
    <x:row r="83">
      <x:c r="A83" t="str">
        <x:v>    SpreadsheetApp.getUi().alert('Para un gasto o ahorro indica cuenta origen.');</x:v>
      </x:c>
    </x:row>
    <x:row r="84">
      <x:c r="A84" t="str">
        <x:v>    return;</x:v>
      </x:c>
    </x:row>
    <x:row r="85">
      <x:c r="A85" t="str">
        <x:v>  }</x:v>
      </x:c>
    </x:row>
    <x:row r="86">
      <x:c r="A86" t="str">
        <x:v>  if (tipo === 'Ahorro' &amp;&amp; !cuentaDestino) cuentaDestino = 'Reserva virtual';</x:v>
      </x:c>
    </x:row>
    <x:row r="87">
      <x:c r="A87" t="str"/>
    </x:row>
    <x:row r="88">
      <x:c r="A88" t="str">
        <x:v>  const fecha = new Date(mesActivo.getFullYear(), mesActivo.getMonth(), dia, 12, 0, 0);</x:v>
      </x:c>
    </x:row>
    <x:row r="89">
      <x:c r="A89" t="str">
        <x:v>  if (fecha.getMonth() !== mesActivo.getMonth()) {</x:v>
      </x:c>
    </x:row>
    <x:row r="90">
      <x:c r="A90" t="str">
        <x:v>    limpiarGuardar_(vista);</x:v>
      </x:c>
    </x:row>
    <x:row r="91">
      <x:c r="A91" t="str">
        <x:v>    SpreadsheetApp.getUi().alert('Ese día no existe en el mes seleccionado.');</x:v>
      </x:c>
    </x:row>
    <x:row r="92">
      <x:c r="A92" t="str">
        <x:v>    return;</x:v>
      </x:c>
    </x:row>
    <x:row r="93">
      <x:c r="A93" t="str">
        <x:v>  }</x:v>
      </x:c>
    </x:row>
    <x:row r="94">
      <x:c r="A94" t="str"/>
    </x:row>
    <x:row r="95">
      <x:c r="A95" t="str">
        <x:v>  const tz = ss.getSpreadsheetTimeZone();</x:v>
      </x:c>
    </x:row>
    <x:row r="96">
      <x:c r="A96" t="str">
        <x:v>  const mesClave = Utilities.formatDate(fecha, tz, 'yyyy-MM');</x:v>
      </x:c>
    </x:row>
    <x:row r="97">
      <x:c r="A97" t="str">
        <x:v>  const now = new Date();</x:v>
      </x:c>
    </x:row>
    <x:row r="98">
      <x:c r="A98" t="str">
        <x:v>  const id = 'MOV-' + Utilities.formatDate(now, tz, 'yyyyMMdd-HHmmss') + '-' + Math.floor(Math.random() * 1000);</x:v>
      </x:c>
    </x:row>
    <x:row r="99">
      <x:c r="A99" t="str">
        <x:v>  const fila = primeraFilaLibrePorColumna_(movimientos, 2, 1);</x:v>
      </x:c>
    </x:row>
    <x:row r="100">
      <x:c r="A100" t="str"/>
    </x:row>
    <x:row r="101">
      <x:c r="A101" t="str">
        <x:v>  movimientos.getRange(fila, 1, 1, 14).setValues([[</x:v>
      </x:c>
    </x:row>
    <x:row r="102">
      <x:c r="A102" t="str">
        <x:v>    id, fecha, mesClave, concepto, tipo, categoria, importe, metodo,</x:v>
      </x:c>
    </x:row>
    <x:row r="103">
      <x:c r="A103" t="str">
        <x:v>    cuentaOrigen, cuentaDestino, notas, '', now, now</x:v>
      </x:c>
    </x:row>
    <x:row r="104">
      <x:c r="A104" t="str">
        <x:v>  ]]);</x:v>
      </x:c>
    </x:row>
    <x:row r="105">
      <x:c r="A105" t="str"/>
    </x:row>
    <x:row r="106">
      <x:c r="A106" t="str">
        <x:v>  movimientos.getRange(fila, 2).setNumberFormat('yyyy-mm-dd');</x:v>
      </x:c>
    </x:row>
    <x:row r="107">
      <x:c r="A107" t="str">
        <x:v>  movimientos.getRange(fila, 7).setNumberFormat('#,##0.00 €');</x:v>
      </x:c>
    </x:row>
    <x:row r="108">
      <x:c r="A108" t="str"/>
    </x:row>
    <x:row r="109">
      <x:c r="A109" t="str">
        <x:v>  asegurarCategoria_(categorias, categoria, tipo);</x:v>
      </x:c>
    </x:row>
    <x:row r="110">
      <x:c r="A110" t="str"/>
    </x:row>
    <x:row r="111">
      <x:c r="A111" t="str">
        <x:v>  vista.getRange('B4:B12').clearContent();</x:v>
      </x:c>
    </x:row>
    <x:row r="112">
      <x:c r="A112" t="str">
        <x:v>  vista.getRange(CONFIG.CELDA_GUARDAR).clearContent();</x:v>
      </x:c>
    </x:row>
    <x:row r="113">
      <x:c r="A113" t="str">
        <x:v>  ss.toast('Movimiento guardado.', 'Finanzas', 5);</x:v>
      </x:c>
    </x:row>
    <x:row r="114">
      <x:c r="A114" t="str">
        <x:v>}</x:v>
      </x:c>
    </x:row>
    <x:row r="115">
      <x:c r="A115" t="str"/>
    </x:row>
    <x:row r="116">
      <x:c r="A116" t="str">
        <x:v>function limpiarGuardar_(vista) {</x:v>
      </x:c>
    </x:row>
    <x:row r="117">
      <x:c r="A117" t="str">
        <x:v>  vista.getRange(CONFIG.CELDA_GUARDAR).clearContent();</x:v>
      </x:c>
    </x:row>
    <x:row r="118">
      <x:c r="A118" t="str">
        <x:v>}</x:v>
      </x:c>
    </x:row>
    <x:row r="119">
      <x:c r="A119" t="str"/>
    </x:row>
    <x:row r="120">
      <x:c r="A120" t="str">
        <x:v>function primeraFilaLibrePorColumna_(hoja, filaInicio, columna) {</x:v>
      </x:c>
    </x:row>
    <x:row r="121">
      <x:c r="A121" t="str">
        <x:v>  const maxRows = hoja.getMaxRows();</x:v>
      </x:c>
    </x:row>
    <x:row r="122">
      <x:c r="A122" t="str">
        <x:v>  const valores = hoja.getRange(filaInicio, columna, maxRows - filaInicio + 1, 1).getValues();</x:v>
      </x:c>
    </x:row>
    <x:row r="123">
      <x:c r="A123" t="str">
        <x:v>  for (let i = 0; i &lt; valores.length; i++) {</x:v>
      </x:c>
    </x:row>
    <x:row r="124">
      <x:c r="A124" t="str">
        <x:v>    if (String(valores[i][0] || '').trim() === '') return filaInicio + i;</x:v>
      </x:c>
    </x:row>
    <x:row r="125">
      <x:c r="A125" t="str">
        <x:v>  }</x:v>
      </x:c>
    </x:row>
    <x:row r="126">
      <x:c r="A126" t="str">
        <x:v>  hoja.insertRowsAfter(maxRows, 100);</x:v>
      </x:c>
    </x:row>
    <x:row r="127">
      <x:c r="A127" t="str">
        <x:v>  return maxRows + 1;</x:v>
      </x:c>
    </x:row>
    <x:row r="128">
      <x:c r="A128" t="str">
        <x:v>}</x:v>
      </x:c>
    </x:row>
    <x:row r="129">
      <x:c r="A129" t="str"/>
    </x:row>
    <x:row r="130">
      <x:c r="A130" t="str">
        <x:v>function asegurarCategoria_(hojaCategorias, categoria, tipo) {</x:v>
      </x:c>
    </x:row>
    <x:row r="131">
      <x:c r="A131" t="str">
        <x:v>  const ultimaFila = Math.max(hojaCategorias.getLastRow(), 2);</x:v>
      </x:c>
    </x:row>
    <x:row r="132">
      <x:c r="A132" t="str">
        <x:v>  const existentes = hojaCategorias.getRange(2, 2, Math.max(ultimaFila - 1, 1), 1)</x:v>
      </x:c>
    </x:row>
    <x:row r="133">
      <x:c r="A133" t="str">
        <x:v>    .getValues().flat().map(v =&gt; String(v || '').trim().toLowerCase());</x:v>
      </x:c>
    </x:row>
    <x:row r="134">
      <x:c r="A134" t="str">
        <x:v>  if (existentes.includes(categoria.toLowerCase())) return;</x:v>
      </x:c>
    </x:row>
    <x:row r="135">
      <x:c r="A135" t="str"/>
    </x:row>
    <x:row r="136">
      <x:c r="A136" t="str">
        <x:v>  const fila = primeraFilaLibrePorColumna_(hojaCategorias, 2, 1);</x:v>
      </x:c>
    </x:row>
    <x:row r="137">
      <x:c r="A137" t="str">
        <x:v>  const now = new Date();</x:v>
      </x:c>
    </x:row>
    <x:row r="138">
      <x:c r="A138" t="str">
        <x:v>  hojaCategorias.getRange(fila, 1, 1, 12).setValues([[</x:v>
      </x:c>
    </x:row>
    <x:row r="139">
      <x:c r="A139" t="str">
        <x:v>    'cat-' + categoria.toLowerCase().replace(/\s+/g, '-'),</x:v>
      </x:c>
    </x:row>
    <x:row r="140">
      <x:c r="A140" t="str">
        <x:v>    categoria,</x:v>
      </x:c>
    </x:row>
    <x:row r="141">
      <x:c r="A141" t="str">
        <x:v>    tipo === 'Ingreso' ? 0 : 100,</x:v>
      </x:c>
    </x:row>
    <x:row r="142">
      <x:c r="A142" t="str">
        <x:v>    tipo,</x:v>
      </x:c>
    </x:row>
    <x:row r="143">
      <x:c r="A143" t="str">
        <x:v>    'Sí',</x:v>
      </x:c>
    </x:row>
    <x:row r="144">
      <x:c r="A144" t="str">
        <x:v>    'Auto',</x:v>
      </x:c>
    </x:row>
    <x:row r="145">
      <x:c r="A145" t="str">
        <x:v>    '#6B7280',</x:v>
      </x:c>
    </x:row>
    <x:row r="146">
      <x:c r="A146" t="str">
        <x:v>    '',</x:v>
      </x:c>
    </x:row>
    <x:row r="147">
      <x:c r="A147" t="str">
        <x:v>    fila - 1,</x:v>
      </x:c>
    </x:row>
    <x:row r="148">
      <x:c r="A148" t="str">
        <x:v>    'Añadida automáticamente desde Vista_mes',</x:v>
      </x:c>
    </x:row>
    <x:row r="149">
      <x:c r="A149" t="str">
        <x:v>    now,</x:v>
      </x:c>
    </x:row>
    <x:row r="150">
      <x:c r="A150" t="str">
        <x:v>    now</x:v>
      </x:c>
    </x:row>
    <x:row r="151">
      <x:c r="A151" t="str">
        <x:v>  ]]);</x:v>
      </x:c>
    </x:row>
    <x:row r="152">
      <x:c r="A152" t="str">
        <x:v>}</x:v>
      </x:c>
    </x:row>
    <x:row r="153">
      <x:c r="A153" t="str"/>
    </x:row>
    <x:row r="154">
      <x:c r="A154" t="str">
        <x:v>function pruebaInstalacion() {</x:v>
      </x:c>
    </x:row>
    <x:row r="155">
      <x:c r="A155" t="str">
        <x:v>  SpreadsheetApp.getUi().alert('Script instalado correctamente.');</x:v>
      </x:c>
    </x:row>
    <x:row r="156">
      <x:c r="A156" t="str">
        <x:v>}</x:v>
      </x:c>
    </x:row>
  </x:sheetData>
  <x:pageMargins left="0.7" right="0.7" top="0.75" bottom="0.75" header="0.3" footer="0.3"/>
</x:worksheet>
</file>